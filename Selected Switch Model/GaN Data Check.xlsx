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elected Switch Model\"/>
    </mc:Choice>
  </mc:AlternateContent>
  <xr:revisionPtr revIDLastSave="0" documentId="13_ncr:1_{1A99C2DE-9ED6-4EA4-88F1-D2ECD1BF08C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U6" i="1"/>
  <c r="X6" i="1" s="1"/>
  <c r="R5" i="1"/>
  <c r="U5" i="1"/>
  <c r="X5" i="1" s="1"/>
  <c r="M6" i="1" l="1"/>
  <c r="M5" i="1"/>
  <c r="R4" i="1"/>
  <c r="U4" i="1"/>
  <c r="X4" i="1" s="1"/>
  <c r="R3" i="1"/>
  <c r="U3" i="1"/>
  <c r="X3" i="1" s="1"/>
  <c r="R2" i="1"/>
  <c r="U2" i="1"/>
  <c r="X2" i="1" s="1"/>
  <c r="M4" i="1" l="1"/>
  <c r="M3" i="1"/>
  <c r="M2" i="1"/>
</calcChain>
</file>

<file path=xl/sharedStrings.xml><?xml version="1.0" encoding="utf-8"?>
<sst xmlns="http://schemas.openxmlformats.org/spreadsheetml/2006/main" count="41" uniqueCount="38">
  <si>
    <t>Part Number</t>
  </si>
  <si>
    <t>Vds, max [V]</t>
  </si>
  <si>
    <t>Rth,JC [°C/W]</t>
  </si>
  <si>
    <t>Eoss @ Vds = 420V [uJ]</t>
  </si>
  <si>
    <t>Coss @ Vds = 420V [pF]</t>
  </si>
  <si>
    <t>Lmin [mm]</t>
  </si>
  <si>
    <t>Wmin [mm]</t>
  </si>
  <si>
    <t>IGT65R025D2ATMA1</t>
  </si>
  <si>
    <t>IGT65R035D2ATMA1</t>
  </si>
  <si>
    <t>GS0650306LRMRXUSA1</t>
  </si>
  <si>
    <t>Rds,on,max [Ω]</t>
  </si>
  <si>
    <t>T_j,max  [°C]</t>
  </si>
  <si>
    <t>t_r [ns]</t>
  </si>
  <si>
    <t>t_f [ns]</t>
  </si>
  <si>
    <t>Name</t>
  </si>
  <si>
    <t>Infineon IGT65R035</t>
  </si>
  <si>
    <t>Infineon IGT65R025</t>
  </si>
  <si>
    <t>GaN Systems GSO65-LR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</si>
  <si>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</si>
  <si>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</si>
  <si>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</si>
  <si>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</si>
  <si>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</si>
  <si>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</si>
  <si>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</si>
  <si>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</si>
  <si>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</si>
  <si>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</si>
  <si>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</si>
  <si>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Cooling Side</t>
  </si>
  <si>
    <t>Bottom</t>
  </si>
  <si>
    <t>Top</t>
  </si>
  <si>
    <t>IGLT65R035D2ATMA1</t>
  </si>
  <si>
    <t>Infineon IGLT65R035</t>
  </si>
  <si>
    <t>Infineon IGOT65R025</t>
  </si>
  <si>
    <t>IGOT65R025D2AUMA1</t>
  </si>
  <si>
    <t>Pin_Area</t>
  </si>
  <si>
    <t>R_ds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</si>
</sst>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infineon-technologies/GS0650306LRMRXUSA1/23023357" TargetMode="External"/><Relationship Id="rId2" Type="http://schemas.openxmlformats.org/officeDocument/2006/relationships/hyperlink" Target="https://www.digikey.com/en/products/detail/infineon-technologies/IGT65R035D2ATMA1/25819951" TargetMode="External"/><Relationship Id="rId1" Type="http://schemas.openxmlformats.org/officeDocument/2006/relationships/hyperlink" Target="https://www.digikey.com/en/products/detail/infineon-technologies/IGT65R025D2ATMA1/25880142" TargetMode="External"/><Relationship Id="rId5" Type="http://schemas.openxmlformats.org/officeDocument/2006/relationships/hyperlink" Target="https://www.digikey.com/en/products/detail/infineon-technologies/IGOT65R025D2AUMA1/25664276" TargetMode="External"/><Relationship Id="rId4" Type="http://schemas.openxmlformats.org/officeDocument/2006/relationships/hyperlink" Target="https://www.digikey.com/en/products/detail/infineon-technologies/IGLT65R035D2ATMA1/25664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topLeftCell="G1" zoomScale="76" zoomScaleNormal="140" workbookViewId="0">
      <selection activeCell="Y3" sqref="Y3"/>
    </sheetView>
  </sheetViews>
  <sheetFormatPr defaultRowHeight="14.5" x14ac:dyDescent="0.35"/>
  <cols>
    <col min="1" max="1" width="14.26953125" customWidth="1"/>
    <col min="2" max="2" width="11.90625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21.5429687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  <col min="17" max="18" width="8.7265625" style="2"/>
    <col min="20" max="20" width="8.7265625" style="2"/>
    <col min="22" max="24" width="8.7265625" style="2"/>
  </cols>
  <sheetData>
    <row r="1" spans="1:26" x14ac:dyDescent="0.35">
      <c r="A1" s="3" t="s">
        <v>14</v>
      </c>
      <c r="B1" s="3" t="s">
        <v>0</v>
      </c>
      <c r="C1" s="3" t="s">
        <v>1</v>
      </c>
      <c r="D1" s="3" t="s">
        <v>2</v>
      </c>
      <c r="E1" s="3" t="s">
        <v>29</v>
      </c>
      <c r="F1" s="3" t="s">
        <v>3</v>
      </c>
      <c r="G1" s="3" t="s">
        <v>4</v>
      </c>
      <c r="H1" s="6" t="s">
        <v>5</v>
      </c>
      <c r="I1" s="3" t="s">
        <v>6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18</v>
      </c>
      <c r="O1" s="9" t="s">
        <v>19</v>
      </c>
      <c r="P1" s="10" t="s">
        <v>20</v>
      </c>
      <c r="Q1" s="10" t="s">
        <v>21</v>
      </c>
      <c r="R1" s="10" t="s">
        <v>22</v>
      </c>
      <c r="S1" s="10" t="s">
        <v>23</v>
      </c>
      <c r="T1" s="10" t="s">
        <v>24</v>
      </c>
      <c r="U1" s="10" t="s">
        <v>25</v>
      </c>
      <c r="V1" s="10" t="s">
        <v>26</v>
      </c>
      <c r="W1" s="10" t="s">
        <v>27</v>
      </c>
      <c r="X1" s="10" t="s">
        <v>28</v>
      </c>
      <c r="Y1" s="10" t="s">
        <v>36</v>
      </c>
      <c r="Z1" s="10" t="s">
        <v>37</v>
      </c>
    </row>
    <row r="2" spans="1:26" ht="29" x14ac:dyDescent="0.35">
      <c r="A2" s="8" t="s">
        <v>17</v>
      </c>
      <c r="B2" s="5" t="s">
        <v>9</v>
      </c>
      <c r="C2" s="4">
        <v>700</v>
      </c>
      <c r="D2" s="4">
        <v>0.49</v>
      </c>
      <c r="E2" s="4" t="s">
        <v>30</v>
      </c>
      <c r="F2" s="4">
        <v>9</v>
      </c>
      <c r="G2" s="4">
        <v>70</v>
      </c>
      <c r="H2" s="4">
        <v>8</v>
      </c>
      <c r="I2" s="4">
        <v>8</v>
      </c>
      <c r="J2" s="2">
        <v>9.6000000000000002E-2</v>
      </c>
      <c r="K2" s="2">
        <v>150</v>
      </c>
      <c r="L2" s="7">
        <v>6.3</v>
      </c>
      <c r="M2" s="7">
        <f t="shared" ref="M2:M6" si="0">R2/X2</f>
        <v>1.571428571428571</v>
      </c>
      <c r="N2" s="2">
        <v>6.7</v>
      </c>
      <c r="O2" s="2">
        <v>6</v>
      </c>
      <c r="P2" s="2">
        <v>0.9</v>
      </c>
      <c r="Q2" s="2">
        <v>1.9</v>
      </c>
      <c r="R2" s="2">
        <f t="shared" ref="R2:R6" si="1">Q2-P2</f>
        <v>0.99999999999999989</v>
      </c>
      <c r="S2" s="2">
        <v>2.5</v>
      </c>
      <c r="T2" s="2">
        <v>1.7</v>
      </c>
      <c r="U2" s="2">
        <f t="shared" ref="U2:U6" si="2">V2+W2</f>
        <v>3.3</v>
      </c>
      <c r="V2" s="2">
        <v>1.3</v>
      </c>
      <c r="W2" s="2">
        <v>2</v>
      </c>
      <c r="X2" s="2">
        <f t="shared" ref="X2:X6" si="3">(S2+T2)/(2*U2)</f>
        <v>0.63636363636363646</v>
      </c>
    </row>
    <row r="3" spans="1:26" ht="29" x14ac:dyDescent="0.35">
      <c r="A3" s="8" t="s">
        <v>16</v>
      </c>
      <c r="B3" s="5" t="s">
        <v>7</v>
      </c>
      <c r="C3" s="4">
        <v>650</v>
      </c>
      <c r="D3" s="4">
        <v>0.53</v>
      </c>
      <c r="E3" s="4" t="s">
        <v>30</v>
      </c>
      <c r="F3" s="4">
        <v>13</v>
      </c>
      <c r="G3" s="4">
        <v>130</v>
      </c>
      <c r="H3" s="4">
        <v>10.275</v>
      </c>
      <c r="I3" s="4">
        <v>9.6999999999999993</v>
      </c>
      <c r="J3" s="2">
        <v>5.2999999999999999E-2</v>
      </c>
      <c r="K3" s="2">
        <v>150</v>
      </c>
      <c r="L3" s="7">
        <v>12</v>
      </c>
      <c r="M3" s="7">
        <f t="shared" si="0"/>
        <v>1.5466666666666671</v>
      </c>
      <c r="N3" s="2">
        <v>11</v>
      </c>
      <c r="O3" s="2">
        <v>3</v>
      </c>
      <c r="P3" s="2">
        <v>1</v>
      </c>
      <c r="Q3" s="2">
        <v>1.8</v>
      </c>
      <c r="R3" s="2">
        <f t="shared" si="1"/>
        <v>0.8</v>
      </c>
      <c r="S3" s="2">
        <v>1.8</v>
      </c>
      <c r="T3" s="2">
        <v>1.2</v>
      </c>
      <c r="U3" s="2">
        <f t="shared" si="2"/>
        <v>2.9000000000000004</v>
      </c>
      <c r="V3" s="2">
        <v>0.7</v>
      </c>
      <c r="W3" s="2">
        <v>2.2000000000000002</v>
      </c>
      <c r="X3" s="2">
        <f t="shared" si="3"/>
        <v>0.51724137931034475</v>
      </c>
      <c r="Z3" s="2">
        <v>2.5000000000000001E-2</v>
      </c>
    </row>
    <row r="4" spans="1:26" ht="29" x14ac:dyDescent="0.35">
      <c r="A4" s="8" t="s">
        <v>15</v>
      </c>
      <c r="B4" s="5" t="s">
        <v>8</v>
      </c>
      <c r="C4" s="4">
        <v>650</v>
      </c>
      <c r="D4" s="4">
        <v>0.76</v>
      </c>
      <c r="E4" s="4" t="s">
        <v>30</v>
      </c>
      <c r="F4" s="4">
        <v>9</v>
      </c>
      <c r="G4" s="4">
        <v>91</v>
      </c>
      <c r="H4" s="4">
        <v>10.275</v>
      </c>
      <c r="I4" s="4">
        <v>9.6999999999999993</v>
      </c>
      <c r="J4" s="2">
        <v>7.4999999999999997E-2</v>
      </c>
      <c r="K4" s="2">
        <v>150</v>
      </c>
      <c r="L4" s="7">
        <v>10</v>
      </c>
      <c r="M4" s="7">
        <f t="shared" si="0"/>
        <v>1.8267333333333329</v>
      </c>
      <c r="N4" s="2">
        <v>7.7</v>
      </c>
      <c r="O4" s="2">
        <v>3</v>
      </c>
      <c r="P4" s="2">
        <v>0.66700000000000004</v>
      </c>
      <c r="Q4" s="2">
        <v>1.25</v>
      </c>
      <c r="R4" s="2">
        <f t="shared" si="1"/>
        <v>0.58299999999999996</v>
      </c>
      <c r="S4" s="2">
        <v>1.8</v>
      </c>
      <c r="T4" s="2">
        <v>1.2</v>
      </c>
      <c r="U4" s="2">
        <f t="shared" si="2"/>
        <v>4.6999999999999993</v>
      </c>
      <c r="V4" s="2">
        <v>1.4</v>
      </c>
      <c r="W4" s="2">
        <v>3.3</v>
      </c>
      <c r="X4" s="2">
        <f t="shared" si="3"/>
        <v>0.31914893617021284</v>
      </c>
    </row>
    <row r="5" spans="1:26" ht="29" x14ac:dyDescent="0.35">
      <c r="A5" s="8" t="s">
        <v>33</v>
      </c>
      <c r="B5" s="11" t="s">
        <v>32</v>
      </c>
      <c r="C5" s="4">
        <v>650</v>
      </c>
      <c r="D5" s="4">
        <v>0.81</v>
      </c>
      <c r="E5" s="4" t="s">
        <v>31</v>
      </c>
      <c r="G5" s="4">
        <v>91</v>
      </c>
      <c r="H5" s="4">
        <v>10</v>
      </c>
      <c r="I5" s="4">
        <v>9.6999999999999993</v>
      </c>
      <c r="J5" s="2">
        <v>7.4999999999999997E-2</v>
      </c>
      <c r="K5" s="2">
        <v>150</v>
      </c>
      <c r="L5" s="7">
        <v>10</v>
      </c>
      <c r="M5" s="7">
        <f t="shared" si="0"/>
        <v>1.8267333333333329</v>
      </c>
      <c r="N5" s="2">
        <v>7.7</v>
      </c>
      <c r="O5" s="2">
        <v>3</v>
      </c>
      <c r="P5" s="2">
        <v>0.66700000000000004</v>
      </c>
      <c r="Q5" s="2">
        <v>1.25</v>
      </c>
      <c r="R5" s="2">
        <f t="shared" si="1"/>
        <v>0.58299999999999996</v>
      </c>
      <c r="S5" s="2">
        <v>1.8</v>
      </c>
      <c r="T5" s="2">
        <v>1.2</v>
      </c>
      <c r="U5" s="2">
        <f t="shared" si="2"/>
        <v>4.6999999999999993</v>
      </c>
      <c r="V5" s="2">
        <v>1.4</v>
      </c>
      <c r="W5" s="2">
        <v>3.3</v>
      </c>
      <c r="X5" s="2">
        <f t="shared" si="3"/>
        <v>0.31914893617021284</v>
      </c>
    </row>
    <row r="6" spans="1:26" ht="29" x14ac:dyDescent="0.35">
      <c r="A6" s="8" t="s">
        <v>34</v>
      </c>
      <c r="B6" s="11" t="s">
        <v>35</v>
      </c>
      <c r="C6" s="4">
        <v>650</v>
      </c>
      <c r="D6" s="4">
        <v>0.68</v>
      </c>
      <c r="E6" s="4" t="s">
        <v>31</v>
      </c>
      <c r="G6" s="4">
        <v>130</v>
      </c>
      <c r="H6" s="4">
        <v>15.64</v>
      </c>
      <c r="I6" s="4">
        <v>10.85</v>
      </c>
      <c r="J6" s="2">
        <v>5.2999999999999999E-2</v>
      </c>
      <c r="K6" s="2">
        <v>150</v>
      </c>
      <c r="L6" s="7">
        <v>12</v>
      </c>
      <c r="M6" s="7">
        <f t="shared" si="0"/>
        <v>1.5466666666666671</v>
      </c>
      <c r="N6" s="2">
        <v>11</v>
      </c>
      <c r="O6" s="2">
        <v>3</v>
      </c>
      <c r="P6" s="2">
        <v>1</v>
      </c>
      <c r="Q6" s="2">
        <v>1.8</v>
      </c>
      <c r="R6" s="2">
        <f t="shared" si="1"/>
        <v>0.8</v>
      </c>
      <c r="S6" s="2">
        <v>1.8</v>
      </c>
      <c r="T6" s="2">
        <v>1.2</v>
      </c>
      <c r="U6" s="2">
        <f t="shared" si="2"/>
        <v>2.9000000000000004</v>
      </c>
      <c r="V6" s="2">
        <v>0.7</v>
      </c>
      <c r="W6" s="2">
        <v>2.2000000000000002</v>
      </c>
      <c r="X6" s="2">
        <f t="shared" si="3"/>
        <v>0.51724137931034475</v>
      </c>
    </row>
  </sheetData>
  <sortState xmlns:xlrd2="http://schemas.microsoft.com/office/spreadsheetml/2017/richdata2" ref="A2:M4">
    <sortCondition ref="A1:A4"/>
  </sortState>
  <hyperlinks>
    <hyperlink ref="B3" r:id="rId1" xr:uid="{E731582E-10C7-4A66-8A8F-8353EE9962B4}"/>
    <hyperlink ref="B4" r:id="rId2" xr:uid="{D721005D-7D84-4B1B-8977-DD5060454D9B}"/>
    <hyperlink ref="B2" r:id="rId3" xr:uid="{A3A31E43-474D-4BD8-8613-CDDAF7E623D3}"/>
    <hyperlink ref="B5" r:id="rId4" xr:uid="{B485EA92-93D0-4B32-844A-296EC4364521}"/>
    <hyperlink ref="B6" r:id="rId5" xr:uid="{0D96658A-923E-4FCF-920F-D72B38E2D0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2026-05-18T03:36:03Z</dcterms:modified>
</cp:coreProperties>
</file>