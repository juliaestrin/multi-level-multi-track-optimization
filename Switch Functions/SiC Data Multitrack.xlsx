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A1526BEA-7154-4BF2-BF01-BE7CBCE136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Q20" i="1" s="1"/>
  <c r="AB20" i="1"/>
  <c r="Y20" i="1"/>
  <c r="N20" i="1"/>
  <c r="Y19" i="1"/>
  <c r="AB19" i="1"/>
  <c r="Q19" i="1"/>
  <c r="V19" i="1"/>
  <c r="N19" i="1"/>
  <c r="V18" i="1"/>
  <c r="Y18" i="1"/>
  <c r="AB18" i="1" s="1"/>
  <c r="Q18" i="1" s="1"/>
  <c r="N18" i="1"/>
  <c r="Y17" i="1"/>
  <c r="AB17" i="1"/>
  <c r="Q17" i="1"/>
  <c r="V17" i="1"/>
  <c r="N17" i="1"/>
  <c r="AB16" i="1"/>
  <c r="Q16" i="1"/>
  <c r="V16" i="1"/>
  <c r="Y16" i="1"/>
  <c r="N16" i="1"/>
  <c r="AB15" i="1"/>
  <c r="Q15" i="1"/>
  <c r="V15" i="1"/>
  <c r="N15" i="1"/>
  <c r="Y15" i="1"/>
  <c r="AB14" i="1"/>
  <c r="Q14" i="1"/>
  <c r="V14" i="1"/>
  <c r="Y14" i="1"/>
  <c r="N14" i="1"/>
  <c r="AB13" i="1"/>
  <c r="Q13" i="1"/>
  <c r="V13" i="1"/>
  <c r="Y13" i="1"/>
  <c r="N13" i="1"/>
  <c r="Q12" i="1"/>
  <c r="AB12" i="1"/>
  <c r="V12" i="1"/>
  <c r="Y12" i="1"/>
  <c r="N12" i="1"/>
  <c r="N4" i="1"/>
  <c r="V4" i="1"/>
  <c r="Q4" i="1" s="1"/>
  <c r="Y4" i="1"/>
  <c r="AB4" i="1"/>
  <c r="N5" i="1"/>
  <c r="V5" i="1"/>
  <c r="Q5" i="1" s="1"/>
  <c r="Y5" i="1"/>
  <c r="AB5" i="1"/>
  <c r="N6" i="1"/>
  <c r="V6" i="1"/>
  <c r="Y6" i="1"/>
  <c r="AB6" i="1" s="1"/>
  <c r="Q6" i="1" s="1"/>
  <c r="N7" i="1"/>
  <c r="V7" i="1"/>
  <c r="Q7" i="1" s="1"/>
  <c r="Y7" i="1"/>
  <c r="AB7" i="1"/>
  <c r="N8" i="1"/>
  <c r="V8" i="1"/>
  <c r="Y8" i="1"/>
  <c r="AB8" i="1" s="1"/>
  <c r="N9" i="1"/>
  <c r="Q9" i="1"/>
  <c r="V9" i="1"/>
  <c r="Y9" i="1"/>
  <c r="AB9" i="1"/>
  <c r="N10" i="1"/>
  <c r="V10" i="1"/>
  <c r="Q10" i="1" s="1"/>
  <c r="Y10" i="1"/>
  <c r="AB10" i="1"/>
  <c r="N11" i="1"/>
  <c r="Y11" i="1"/>
  <c r="Q8" i="1" l="1"/>
  <c r="Q3" i="1" l="1"/>
  <c r="AB3" i="1"/>
  <c r="Y3" i="1"/>
  <c r="V3" i="1"/>
  <c r="N3" i="1"/>
  <c r="AB2" i="1"/>
  <c r="Q2" i="1" s="1"/>
  <c r="Y2" i="1"/>
  <c r="N2" i="1"/>
  <c r="V2" i="1"/>
</calcChain>
</file>

<file path=xl/sharedStrings.xml><?xml version="1.0" encoding="utf-8"?>
<sst xmlns="http://schemas.openxmlformats.org/spreadsheetml/2006/main" count="85" uniqueCount="68">
  <si>
    <t>Part Number</t>
  </si>
  <si>
    <t>Vds, max [V]</t>
  </si>
  <si>
    <t>Rth,JC [°C/W]</t>
  </si>
  <si>
    <t>Lmin [mm]</t>
  </si>
  <si>
    <t>Wmin [mm]</t>
  </si>
  <si>
    <t>Rds,on,max [Ω]</t>
  </si>
  <si>
    <t>T_j,max  [°C]</t>
  </si>
  <si>
    <t>t_r [ns]</t>
  </si>
  <si>
    <t>t_f [ns]</t>
  </si>
  <si>
    <t>Esw @ Id [A]; Vd [V]</t>
  </si>
  <si>
    <t>Name</t>
  </si>
  <si>
    <t>Qg [nC]</t>
  </si>
  <si>
    <t>Vg [V]</t>
  </si>
  <si>
    <t>Q_gs2</t>
  </si>
  <si>
    <t>R_goff</t>
  </si>
  <si>
    <t>V_pl_q1</t>
  </si>
  <si>
    <t>V_th</t>
  </si>
  <si>
    <t>Q_gs(th)</t>
  </si>
  <si>
    <t>R_g (test)</t>
  </si>
  <si>
    <t>I_gc_cf_off</t>
  </si>
  <si>
    <t>R_g(int)</t>
  </si>
  <si>
    <t>Q_gs</t>
  </si>
  <si>
    <t>MSC180SMA120S</t>
  </si>
  <si>
    <t>Microchip MSC180</t>
  </si>
  <si>
    <t>Coss [pF]</t>
  </si>
  <si>
    <t>MSC180SMA120SDT/R</t>
  </si>
  <si>
    <t>Microchip MSC180DT/R</t>
  </si>
  <si>
    <t>NTBG160N120SC1</t>
  </si>
  <si>
    <t>Onsemi NTBG160</t>
  </si>
  <si>
    <t>Eon [uJ]</t>
  </si>
  <si>
    <t>Eoff  [uJ]</t>
  </si>
  <si>
    <t>Etotal [uJ]</t>
  </si>
  <si>
    <t>Eoss [uJ]</t>
  </si>
  <si>
    <t>NVBG160N120SC1</t>
  </si>
  <si>
    <t>Onsemi NVBG160</t>
  </si>
  <si>
    <t>Navitas G3R160</t>
  </si>
  <si>
    <t>G3R160MT17J-TR</t>
  </si>
  <si>
    <t>E3M0160120J2-TR</t>
  </si>
  <si>
    <t>Wolfspeed E3M016</t>
  </si>
  <si>
    <t>IXSA20N120L2-7TR</t>
  </si>
  <si>
    <t>IXYS A20N</t>
  </si>
  <si>
    <t>AIMCQ120R160M1TXTMA1</t>
  </si>
  <si>
    <t>Infineon AIMCQ120</t>
  </si>
  <si>
    <t>Cooling Side</t>
  </si>
  <si>
    <t>Top</t>
  </si>
  <si>
    <t>Bottom</t>
  </si>
  <si>
    <t>IMBG120R140M1HXTMA1</t>
  </si>
  <si>
    <t>Infineon IMBG120</t>
  </si>
  <si>
    <t>G3F135MT12J-TR</t>
  </si>
  <si>
    <t>Navitas G3F13M</t>
  </si>
  <si>
    <t>IMCQ120R005M2HXUMA1</t>
  </si>
  <si>
    <t>IMCQ120R007M2HXTMA1</t>
  </si>
  <si>
    <t>Infineon CQ120R005</t>
  </si>
  <si>
    <t>IMBG120R008M2HXTMA1</t>
  </si>
  <si>
    <t>Infineon CQ120R007</t>
  </si>
  <si>
    <t>Infineon BG120R008</t>
  </si>
  <si>
    <t>IMCQ120R010M2HXTMA1</t>
  </si>
  <si>
    <t>Infineon CQ120R010</t>
  </si>
  <si>
    <t>AIMBG120R010M1XTMA1</t>
  </si>
  <si>
    <t>Infineon BG120R010</t>
  </si>
  <si>
    <t>IMBG120R012M2HXTMA1</t>
  </si>
  <si>
    <t>Infineon BG120R012</t>
  </si>
  <si>
    <t>SCT012H90G3AG</t>
  </si>
  <si>
    <t>STM SCT012</t>
  </si>
  <si>
    <t>IMBG120R017M2HXTMA1</t>
  </si>
  <si>
    <t>Infineon BG120R017</t>
  </si>
  <si>
    <t>IMCQ120R017M2HXTMA1</t>
  </si>
  <si>
    <t>Infineon CQ120R017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</si>
</sst>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avitas-semiconductor-inc/G3R160MT17J-TR/21650570" TargetMode="External"/><Relationship Id="rId13" Type="http://schemas.openxmlformats.org/officeDocument/2006/relationships/hyperlink" Target="https://www.digikey.com/en/products/detail/infineon-technologies/IMBG120R008M2HXTMA1/21676180" TargetMode="External"/><Relationship Id="rId18" Type="http://schemas.openxmlformats.org/officeDocument/2006/relationships/hyperlink" Target="https://www.digikey.com/en/products/detail/infineon-technologies/IMBG120R017M2HXTMA1/21675677" TargetMode="External"/><Relationship Id="rId3" Type="http://schemas.openxmlformats.org/officeDocument/2006/relationships/hyperlink" Target="https://www.digikey.com/en/products/detail/navitas-semiconductor-inc/G3F135MT12J-TR/25672492" TargetMode="External"/><Relationship Id="rId7" Type="http://schemas.openxmlformats.org/officeDocument/2006/relationships/hyperlink" Target="https://www.digikey.com/en/products/detail/wolfspeed-inc/E3M0160120J2-TR/22286502" TargetMode="External"/><Relationship Id="rId12" Type="http://schemas.openxmlformats.org/officeDocument/2006/relationships/hyperlink" Target="https://www.digikey.com/en/products/detail/infineon-technologies/IMCQ120R007M2HXTMA1/25894119" TargetMode="External"/><Relationship Id="rId17" Type="http://schemas.openxmlformats.org/officeDocument/2006/relationships/hyperlink" Target="https://www.digikey.com/en/products/detail/stmicroelectronics/SCT012H90G3AG/22146758" TargetMode="External"/><Relationship Id="rId2" Type="http://schemas.openxmlformats.org/officeDocument/2006/relationships/hyperlink" Target="https://www.digikey.com/en/products/detail/microchip-technology/MSC180SMA120SDT-R/23029784" TargetMode="External"/><Relationship Id="rId16" Type="http://schemas.openxmlformats.org/officeDocument/2006/relationships/hyperlink" Target="https://www.digikey.com/en/products/detail/infineon-technologies/IMBG120R012M2HXTMA1/21675655" TargetMode="External"/><Relationship Id="rId1" Type="http://schemas.openxmlformats.org/officeDocument/2006/relationships/hyperlink" Target="https://www.digikey.com/en/products/detail/microchip-technology/MSC180SMA120S/12367457" TargetMode="External"/><Relationship Id="rId6" Type="http://schemas.openxmlformats.org/officeDocument/2006/relationships/hyperlink" Target="https://www.digikey.com/en/products/detail/ixys/IXSA20N120L2-7TR/27514126" TargetMode="External"/><Relationship Id="rId11" Type="http://schemas.openxmlformats.org/officeDocument/2006/relationships/hyperlink" Target="https://www.digikey.com/en/products/detail/infineon-technologies/IMCQ120R005M2HXUMA1/28005074" TargetMode="External"/><Relationship Id="rId5" Type="http://schemas.openxmlformats.org/officeDocument/2006/relationships/hyperlink" Target="https://www.digikey.com/en/products/detail/infineon-technologies/AIMCQ120R160M1TXTMA1/24399834" TargetMode="External"/><Relationship Id="rId15" Type="http://schemas.openxmlformats.org/officeDocument/2006/relationships/hyperlink" Target="https://www.digikey.com/en/products/detail/infineon-technologies/AIMBG120R010M1XTMA1/16731084" TargetMode="External"/><Relationship Id="rId10" Type="http://schemas.openxmlformats.org/officeDocument/2006/relationships/hyperlink" Target="https://www.digikey.com/en/products/detail/onsemi/NTBG160N120SC1/12180008" TargetMode="External"/><Relationship Id="rId19" Type="http://schemas.openxmlformats.org/officeDocument/2006/relationships/hyperlink" Target="https://www.digikey.com/en/products/detail/infineon-technologies/IMCQ120R017M2HXTMA1/25902260" TargetMode="External"/><Relationship Id="rId4" Type="http://schemas.openxmlformats.org/officeDocument/2006/relationships/hyperlink" Target="https://www.digikey.com/en/products/detail/infineon-technologies/IMBG120R140M1HXTMA1/13530817" TargetMode="External"/><Relationship Id="rId9" Type="http://schemas.openxmlformats.org/officeDocument/2006/relationships/hyperlink" Target="https://www.digikey.com/en/products/detail/onsemi/NVBG160N120SC1/12180043" TargetMode="External"/><Relationship Id="rId14" Type="http://schemas.openxmlformats.org/officeDocument/2006/relationships/hyperlink" Target="https://www.digikey.com/en/products/detail/infineon-technologies/IMCQ120R010M2HXTMA1/25894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topLeftCell="A8" zoomScale="75" zoomScaleNormal="140" workbookViewId="0">
      <selection activeCell="H17" sqref="H17"/>
    </sheetView>
  </sheetViews>
  <sheetFormatPr defaultRowHeight="14.5" x14ac:dyDescent="0.35"/>
  <cols>
    <col min="1" max="1" width="14.453125" customWidth="1"/>
    <col min="2" max="2" width="11.90625" style="12" customWidth="1"/>
    <col min="3" max="3" width="12.90625" style="2" customWidth="1"/>
    <col min="4" max="4" width="12.7265625" style="2" customWidth="1"/>
    <col min="5" max="5" width="11.6328125" style="2" customWidth="1"/>
    <col min="6" max="6" width="11" customWidth="1"/>
    <col min="7" max="7" width="10.7265625" style="2" customWidth="1"/>
    <col min="8" max="8" width="10.90625" style="2" customWidth="1"/>
    <col min="9" max="9" width="11" customWidth="1"/>
    <col min="10" max="10" width="10.1796875" style="2" customWidth="1"/>
    <col min="11" max="11" width="14.6328125" style="2" customWidth="1"/>
    <col min="12" max="12" width="11.6328125" style="2" customWidth="1"/>
    <col min="13" max="13" width="13.08984375" style="2" customWidth="1"/>
    <col min="14" max="14" width="13.81640625" style="2" customWidth="1"/>
    <col min="15" max="15" width="12.08984375" style="2" customWidth="1"/>
    <col min="16" max="16" width="8.7265625" style="2"/>
    <col min="18" max="24" width="8.7265625" style="2"/>
    <col min="26" max="27" width="8.7265625" style="2"/>
    <col min="28" max="28" width="11" style="2" customWidth="1"/>
  </cols>
  <sheetData>
    <row r="1" spans="1:28" x14ac:dyDescent="0.35">
      <c r="A1" s="3" t="s">
        <v>10</v>
      </c>
      <c r="B1" s="11" t="s">
        <v>0</v>
      </c>
      <c r="C1" s="3" t="s">
        <v>1</v>
      </c>
      <c r="D1" s="3" t="s">
        <v>2</v>
      </c>
      <c r="E1" s="3" t="s">
        <v>43</v>
      </c>
      <c r="F1" s="3" t="s">
        <v>9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24</v>
      </c>
      <c r="L1" s="5" t="s">
        <v>3</v>
      </c>
      <c r="M1" s="3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9" t="s">
        <v>17</v>
      </c>
      <c r="U1" s="9" t="s">
        <v>21</v>
      </c>
      <c r="V1" s="9" t="s">
        <v>13</v>
      </c>
      <c r="W1" s="9" t="s">
        <v>15</v>
      </c>
      <c r="X1" s="9" t="s">
        <v>16</v>
      </c>
      <c r="Y1" s="9" t="s">
        <v>14</v>
      </c>
      <c r="Z1" s="9" t="s">
        <v>20</v>
      </c>
      <c r="AA1" s="9" t="s">
        <v>18</v>
      </c>
      <c r="AB1" s="9" t="s">
        <v>19</v>
      </c>
    </row>
    <row r="2" spans="1:28" ht="29" x14ac:dyDescent="0.35">
      <c r="A2" s="8" t="s">
        <v>23</v>
      </c>
      <c r="B2" s="7" t="s">
        <v>22</v>
      </c>
      <c r="C2" s="4">
        <v>1200</v>
      </c>
      <c r="D2" s="4">
        <v>0.79</v>
      </c>
      <c r="E2" s="2" t="s">
        <v>45</v>
      </c>
      <c r="K2" s="2">
        <v>45</v>
      </c>
      <c r="L2" s="2">
        <v>15.85</v>
      </c>
      <c r="M2" s="2">
        <v>13.8</v>
      </c>
      <c r="N2" s="2">
        <f>297*0.001</f>
        <v>0.29699999999999999</v>
      </c>
      <c r="O2" s="2">
        <v>175</v>
      </c>
      <c r="Q2" s="10">
        <f t="shared" ref="Q2:Q20" si="0">V2/AB2</f>
        <v>5.5879945429740792</v>
      </c>
      <c r="R2" s="2">
        <v>34</v>
      </c>
      <c r="S2" s="2">
        <v>20</v>
      </c>
      <c r="T2" s="2">
        <v>4.88</v>
      </c>
      <c r="U2" s="2">
        <v>10</v>
      </c>
      <c r="V2" s="2">
        <f t="shared" ref="V2:V10" si="1">U2-T2</f>
        <v>5.12</v>
      </c>
      <c r="W2" s="2">
        <v>11.4</v>
      </c>
      <c r="X2" s="2">
        <v>3.26</v>
      </c>
      <c r="Y2" s="2">
        <f t="shared" ref="Y2:Y20" si="2">Z2+AA2</f>
        <v>8</v>
      </c>
      <c r="AA2" s="2">
        <v>8</v>
      </c>
      <c r="AB2" s="2">
        <f t="shared" ref="AB2:AB20" si="3">(W2+X2)/(2*Y2)</f>
        <v>0.91625000000000001</v>
      </c>
    </row>
    <row r="3" spans="1:28" ht="29" x14ac:dyDescent="0.35">
      <c r="A3" s="12" t="s">
        <v>26</v>
      </c>
      <c r="B3" s="7" t="s">
        <v>25</v>
      </c>
      <c r="C3" s="2">
        <v>1200</v>
      </c>
      <c r="D3" s="2">
        <v>0.79</v>
      </c>
      <c r="E3" s="2" t="s">
        <v>45</v>
      </c>
      <c r="K3" s="2">
        <v>47</v>
      </c>
      <c r="L3" s="2">
        <v>9.8000000000000007</v>
      </c>
      <c r="M3" s="2">
        <v>9.0500000000000007</v>
      </c>
      <c r="N3" s="2">
        <f>262.8*(0.001)</f>
        <v>0.26280000000000003</v>
      </c>
      <c r="O3" s="2">
        <v>175</v>
      </c>
      <c r="P3" s="2">
        <v>15</v>
      </c>
      <c r="Q3" s="10">
        <f t="shared" si="0"/>
        <v>23.843137254901961</v>
      </c>
      <c r="R3" s="2">
        <v>36</v>
      </c>
      <c r="S3" s="2">
        <v>20</v>
      </c>
      <c r="T3" s="2">
        <v>7.2</v>
      </c>
      <c r="U3" s="2">
        <v>11</v>
      </c>
      <c r="V3" s="2">
        <f t="shared" si="1"/>
        <v>3.8</v>
      </c>
      <c r="W3" s="2">
        <v>7.2</v>
      </c>
      <c r="X3" s="2">
        <v>3</v>
      </c>
      <c r="Y3" s="2">
        <f t="shared" si="2"/>
        <v>32</v>
      </c>
      <c r="AA3" s="2">
        <v>32</v>
      </c>
      <c r="AB3" s="2">
        <f t="shared" si="3"/>
        <v>0.15937499999999999</v>
      </c>
    </row>
    <row r="4" spans="1:28" ht="29" x14ac:dyDescent="0.35">
      <c r="A4" s="12" t="s">
        <v>28</v>
      </c>
      <c r="B4" s="7" t="s">
        <v>27</v>
      </c>
      <c r="C4" s="2">
        <v>1200</v>
      </c>
      <c r="D4" s="2">
        <v>1.1000000000000001</v>
      </c>
      <c r="E4" s="2" t="s">
        <v>45</v>
      </c>
      <c r="K4" s="2">
        <v>50.7</v>
      </c>
      <c r="L4" s="2">
        <v>9.6999999999999993</v>
      </c>
      <c r="M4" s="2">
        <v>9</v>
      </c>
      <c r="N4" s="2">
        <f>239*(0.001)</f>
        <v>0.23900000000000002</v>
      </c>
      <c r="O4" s="2">
        <v>175</v>
      </c>
      <c r="P4" s="2">
        <v>11</v>
      </c>
      <c r="Q4" s="10">
        <f t="shared" si="0"/>
        <v>5.4193333333333324</v>
      </c>
      <c r="R4" s="2">
        <v>33.799999999999997</v>
      </c>
      <c r="S4" s="2">
        <v>20</v>
      </c>
      <c r="T4" s="2">
        <v>6.1</v>
      </c>
      <c r="U4" s="2">
        <v>11.6</v>
      </c>
      <c r="V4" s="2">
        <f t="shared" si="1"/>
        <v>5.5</v>
      </c>
      <c r="W4" s="2">
        <v>12</v>
      </c>
      <c r="X4" s="2">
        <v>3</v>
      </c>
      <c r="Y4" s="2">
        <f t="shared" si="2"/>
        <v>7.39</v>
      </c>
      <c r="Z4" s="2">
        <v>1.39</v>
      </c>
      <c r="AA4" s="2">
        <v>6</v>
      </c>
      <c r="AB4" s="2">
        <f t="shared" si="3"/>
        <v>1.0148849797023005</v>
      </c>
    </row>
    <row r="5" spans="1:28" ht="29" x14ac:dyDescent="0.35">
      <c r="A5" s="8" t="s">
        <v>34</v>
      </c>
      <c r="B5" s="6" t="s">
        <v>33</v>
      </c>
      <c r="C5" s="4">
        <v>1200</v>
      </c>
      <c r="D5" s="4">
        <v>1.1000000000000001</v>
      </c>
      <c r="E5" s="4" t="s">
        <v>45</v>
      </c>
      <c r="F5" s="4"/>
      <c r="G5" s="4"/>
      <c r="H5" s="4"/>
      <c r="I5" s="4"/>
      <c r="J5" s="4"/>
      <c r="K5" s="4">
        <v>50.7</v>
      </c>
      <c r="L5" s="4">
        <v>9.6999999999999993</v>
      </c>
      <c r="M5" s="4">
        <v>9</v>
      </c>
      <c r="N5" s="2">
        <f>239*(0.001)</f>
        <v>0.23900000000000002</v>
      </c>
      <c r="O5" s="2">
        <v>175</v>
      </c>
      <c r="P5" s="13">
        <v>11</v>
      </c>
      <c r="Q5" s="10">
        <f t="shared" si="0"/>
        <v>5.4193333333333324</v>
      </c>
      <c r="R5" s="2">
        <v>33.799999999999997</v>
      </c>
      <c r="S5" s="2">
        <v>20</v>
      </c>
      <c r="T5" s="2">
        <v>6.1</v>
      </c>
      <c r="U5" s="2">
        <v>11.6</v>
      </c>
      <c r="V5" s="2">
        <f t="shared" si="1"/>
        <v>5.5</v>
      </c>
      <c r="W5" s="2">
        <v>12</v>
      </c>
      <c r="X5" s="2">
        <v>3</v>
      </c>
      <c r="Y5" s="2">
        <f t="shared" si="2"/>
        <v>7.39</v>
      </c>
      <c r="Z5" s="2">
        <v>1.39</v>
      </c>
      <c r="AA5" s="2">
        <v>6</v>
      </c>
      <c r="AB5" s="2">
        <f t="shared" si="3"/>
        <v>1.0148849797023005</v>
      </c>
    </row>
    <row r="6" spans="1:28" ht="29" x14ac:dyDescent="0.35">
      <c r="A6" s="8" t="s">
        <v>35</v>
      </c>
      <c r="B6" s="7" t="s">
        <v>36</v>
      </c>
      <c r="C6" s="2">
        <v>1700</v>
      </c>
      <c r="D6" s="2">
        <v>0.87</v>
      </c>
      <c r="E6" s="2" t="s">
        <v>45</v>
      </c>
      <c r="G6" s="2">
        <v>107</v>
      </c>
      <c r="H6" s="2">
        <v>23</v>
      </c>
      <c r="K6" s="2">
        <v>25</v>
      </c>
      <c r="L6" s="2">
        <v>10.08</v>
      </c>
      <c r="M6" s="2">
        <v>8.93</v>
      </c>
      <c r="N6" s="2">
        <f>321*(0.001)</f>
        <v>0.32100000000000001</v>
      </c>
      <c r="O6" s="2">
        <v>175</v>
      </c>
      <c r="P6" s="2">
        <v>11</v>
      </c>
      <c r="Q6" s="10">
        <f t="shared" si="0"/>
        <v>4.488311688311688</v>
      </c>
      <c r="R6" s="2">
        <v>29</v>
      </c>
      <c r="S6" s="2">
        <v>15</v>
      </c>
      <c r="T6" s="2">
        <v>7.2</v>
      </c>
      <c r="U6" s="2">
        <v>9</v>
      </c>
      <c r="V6" s="2">
        <f t="shared" si="1"/>
        <v>1.7999999999999998</v>
      </c>
      <c r="W6" s="2">
        <v>5</v>
      </c>
      <c r="X6" s="2">
        <v>2.7</v>
      </c>
      <c r="Y6" s="2">
        <f t="shared" si="2"/>
        <v>9.6</v>
      </c>
      <c r="Z6" s="2">
        <v>1.6</v>
      </c>
      <c r="AA6" s="2">
        <v>8</v>
      </c>
      <c r="AB6" s="2">
        <f t="shared" si="3"/>
        <v>0.40104166666666669</v>
      </c>
    </row>
    <row r="7" spans="1:28" ht="29" x14ac:dyDescent="0.35">
      <c r="A7" s="8" t="s">
        <v>38</v>
      </c>
      <c r="B7" s="7" t="s">
        <v>37</v>
      </c>
      <c r="C7" s="2">
        <v>1200</v>
      </c>
      <c r="D7" s="2">
        <v>1.1100000000000001</v>
      </c>
      <c r="E7" s="2" t="s">
        <v>45</v>
      </c>
      <c r="G7" s="2">
        <v>151</v>
      </c>
      <c r="H7" s="2">
        <v>8</v>
      </c>
      <c r="J7" s="2">
        <v>17</v>
      </c>
      <c r="K7" s="2">
        <v>31</v>
      </c>
      <c r="L7" s="2">
        <v>9.8000000000000007</v>
      </c>
      <c r="M7" s="2">
        <v>9.0500000000000007</v>
      </c>
      <c r="N7" s="2">
        <f>280*(0.001)</f>
        <v>0.28000000000000003</v>
      </c>
      <c r="O7" s="2">
        <v>175</v>
      </c>
      <c r="P7" s="2">
        <v>9</v>
      </c>
      <c r="Q7" s="10">
        <f t="shared" si="0"/>
        <v>6.4495412844036704</v>
      </c>
      <c r="R7" s="2">
        <v>28</v>
      </c>
      <c r="S7" s="2">
        <v>15</v>
      </c>
      <c r="T7" s="2">
        <v>6.375</v>
      </c>
      <c r="U7" s="2">
        <v>11</v>
      </c>
      <c r="V7" s="2">
        <f t="shared" si="1"/>
        <v>4.625</v>
      </c>
      <c r="W7" s="2">
        <v>8.1</v>
      </c>
      <c r="X7" s="2">
        <v>2.8</v>
      </c>
      <c r="Y7" s="2">
        <f t="shared" si="2"/>
        <v>7.6</v>
      </c>
      <c r="Z7" s="2">
        <v>5.0999999999999996</v>
      </c>
      <c r="AA7" s="2">
        <v>2.5</v>
      </c>
      <c r="AB7" s="2">
        <f t="shared" si="3"/>
        <v>0.71710526315789469</v>
      </c>
    </row>
    <row r="8" spans="1:28" ht="29" x14ac:dyDescent="0.35">
      <c r="A8" s="8" t="s">
        <v>40</v>
      </c>
      <c r="B8" s="7" t="s">
        <v>39</v>
      </c>
      <c r="C8" s="2">
        <v>1200</v>
      </c>
      <c r="D8" s="2">
        <v>1.1000000000000001</v>
      </c>
      <c r="E8" s="2" t="s">
        <v>45</v>
      </c>
      <c r="G8" s="2">
        <v>148</v>
      </c>
      <c r="H8" s="2">
        <v>262</v>
      </c>
      <c r="K8" s="2">
        <v>35</v>
      </c>
      <c r="L8" s="2">
        <v>9.8000000000000007</v>
      </c>
      <c r="M8" s="2">
        <v>9.0500000000000007</v>
      </c>
      <c r="N8" s="2">
        <f>260*(0.001)</f>
        <v>0.26</v>
      </c>
      <c r="O8" s="2">
        <v>175</v>
      </c>
      <c r="P8" s="2">
        <v>10.4</v>
      </c>
      <c r="Q8" s="10">
        <f t="shared" si="0"/>
        <v>7.8832727272727272</v>
      </c>
      <c r="R8" s="2">
        <v>29</v>
      </c>
      <c r="S8" s="2">
        <v>18</v>
      </c>
      <c r="T8" s="2">
        <v>3.34</v>
      </c>
      <c r="U8" s="2">
        <v>6.6</v>
      </c>
      <c r="V8" s="2">
        <f t="shared" si="1"/>
        <v>3.26</v>
      </c>
      <c r="W8" s="2">
        <v>8</v>
      </c>
      <c r="X8" s="2">
        <v>3</v>
      </c>
      <c r="Y8" s="2">
        <f t="shared" si="2"/>
        <v>13.3</v>
      </c>
      <c r="Z8" s="2">
        <v>10</v>
      </c>
      <c r="AA8" s="2">
        <v>3.3</v>
      </c>
      <c r="AB8" s="2">
        <f t="shared" si="3"/>
        <v>0.41353383458646614</v>
      </c>
    </row>
    <row r="9" spans="1:28" ht="43.5" x14ac:dyDescent="0.35">
      <c r="A9" s="8" t="s">
        <v>42</v>
      </c>
      <c r="B9" s="7" t="s">
        <v>41</v>
      </c>
      <c r="C9" s="2">
        <v>1200</v>
      </c>
      <c r="D9" s="2">
        <v>0.92</v>
      </c>
      <c r="E9" s="2" t="s">
        <v>44</v>
      </c>
      <c r="J9" s="2">
        <v>8.1</v>
      </c>
      <c r="K9" s="2">
        <v>20</v>
      </c>
      <c r="L9" s="2">
        <v>15.3</v>
      </c>
      <c r="M9" s="2">
        <v>14.9</v>
      </c>
      <c r="N9" s="2">
        <f>327*(0.001)</f>
        <v>0.32700000000000001</v>
      </c>
      <c r="O9" s="2">
        <v>175</v>
      </c>
      <c r="P9" s="2">
        <v>3.5</v>
      </c>
      <c r="Q9" s="10">
        <f t="shared" si="0"/>
        <v>3.094736842105263</v>
      </c>
      <c r="R9" s="2">
        <v>14</v>
      </c>
      <c r="S9" s="2">
        <v>20</v>
      </c>
      <c r="T9" s="2">
        <v>2.2000000000000002</v>
      </c>
      <c r="U9" s="2">
        <v>4</v>
      </c>
      <c r="V9" s="2">
        <f t="shared" si="1"/>
        <v>1.7999999999999998</v>
      </c>
      <c r="W9" s="2">
        <v>7</v>
      </c>
      <c r="X9" s="2">
        <v>4.4000000000000004</v>
      </c>
      <c r="Y9" s="2">
        <f t="shared" si="2"/>
        <v>9.8000000000000007</v>
      </c>
      <c r="Z9" s="2">
        <v>4.8</v>
      </c>
      <c r="AA9" s="2">
        <v>5</v>
      </c>
      <c r="AB9" s="2">
        <f t="shared" si="3"/>
        <v>0.58163265306122447</v>
      </c>
    </row>
    <row r="10" spans="1:28" ht="29" x14ac:dyDescent="0.35">
      <c r="A10" s="8" t="s">
        <v>47</v>
      </c>
      <c r="B10" s="7" t="s">
        <v>46</v>
      </c>
      <c r="C10" s="2">
        <v>1200</v>
      </c>
      <c r="D10" s="2">
        <v>1.1000000000000001</v>
      </c>
      <c r="E10" s="2" t="s">
        <v>45</v>
      </c>
      <c r="K10" s="2">
        <v>23</v>
      </c>
      <c r="L10" s="2">
        <v>9.8000000000000007</v>
      </c>
      <c r="M10" s="2">
        <v>9.0500000000000007</v>
      </c>
      <c r="N10" s="2">
        <f>265*(0.001)</f>
        <v>0.26500000000000001</v>
      </c>
      <c r="O10" s="2">
        <v>175</v>
      </c>
      <c r="P10" s="2">
        <v>1.8</v>
      </c>
      <c r="Q10" s="10">
        <f t="shared" si="0"/>
        <v>3.9679999999999995</v>
      </c>
      <c r="R10" s="2">
        <v>13.4</v>
      </c>
      <c r="S10" s="2">
        <v>18</v>
      </c>
      <c r="T10" s="2">
        <v>2.25</v>
      </c>
      <c r="U10" s="2">
        <v>3.8</v>
      </c>
      <c r="V10" s="2">
        <f t="shared" si="1"/>
        <v>1.5499999999999998</v>
      </c>
      <c r="W10" s="2">
        <v>8</v>
      </c>
      <c r="X10" s="2">
        <v>4.5</v>
      </c>
      <c r="Y10" s="2">
        <f t="shared" si="2"/>
        <v>16</v>
      </c>
      <c r="Z10" s="2">
        <v>14</v>
      </c>
      <c r="AA10" s="2">
        <v>2</v>
      </c>
      <c r="AB10" s="2">
        <f t="shared" si="3"/>
        <v>0.390625</v>
      </c>
    </row>
    <row r="11" spans="1:28" ht="29" x14ac:dyDescent="0.35">
      <c r="A11" s="8" t="s">
        <v>49</v>
      </c>
      <c r="B11" s="7" t="s">
        <v>48</v>
      </c>
      <c r="C11" s="2">
        <v>1200</v>
      </c>
      <c r="D11" s="2">
        <v>1.73</v>
      </c>
      <c r="E11" s="2" t="s">
        <v>45</v>
      </c>
      <c r="K11" s="2">
        <v>26</v>
      </c>
      <c r="L11" s="2">
        <v>10.08</v>
      </c>
      <c r="M11" s="2">
        <v>8.93</v>
      </c>
      <c r="N11" s="2">
        <f>245*(0.001)</f>
        <v>0.245</v>
      </c>
      <c r="O11" s="2">
        <v>175</v>
      </c>
      <c r="P11" s="2">
        <v>8</v>
      </c>
      <c r="Q11" s="14">
        <v>7</v>
      </c>
      <c r="R11" s="2">
        <v>27</v>
      </c>
      <c r="S11" s="2">
        <v>18</v>
      </c>
      <c r="U11" s="2">
        <v>7</v>
      </c>
      <c r="X11" s="2">
        <v>3.1</v>
      </c>
      <c r="Y11" s="2">
        <f t="shared" si="2"/>
        <v>11.3</v>
      </c>
      <c r="Z11" s="2">
        <v>1.3</v>
      </c>
      <c r="AA11" s="2">
        <v>10</v>
      </c>
    </row>
    <row r="12" spans="1:28" ht="43.5" x14ac:dyDescent="0.35">
      <c r="A12" s="8" t="s">
        <v>52</v>
      </c>
      <c r="B12" s="7" t="s">
        <v>50</v>
      </c>
      <c r="C12" s="2">
        <v>1200</v>
      </c>
      <c r="D12" s="2">
        <v>0.08</v>
      </c>
      <c r="E12" s="2" t="s">
        <v>44</v>
      </c>
      <c r="K12" s="2">
        <v>428</v>
      </c>
      <c r="L12" s="2">
        <v>15.3</v>
      </c>
      <c r="M12" s="2">
        <v>14.9</v>
      </c>
      <c r="N12" s="2">
        <f>11.9*(0.001)</f>
        <v>1.1900000000000001E-2</v>
      </c>
      <c r="O12" s="2">
        <v>175</v>
      </c>
      <c r="P12" s="2">
        <v>21.3</v>
      </c>
      <c r="Q12" s="10">
        <f t="shared" si="0"/>
        <v>21.666355140186912</v>
      </c>
      <c r="R12" s="2">
        <v>261</v>
      </c>
      <c r="S12" s="2">
        <v>18</v>
      </c>
      <c r="T12" s="2">
        <v>33.4</v>
      </c>
      <c r="U12" s="2">
        <v>57.3</v>
      </c>
      <c r="V12" s="2">
        <f t="shared" ref="V12:V20" si="4">U12-T12</f>
        <v>23.9</v>
      </c>
      <c r="W12" s="2">
        <v>6.5</v>
      </c>
      <c r="X12" s="2">
        <v>4.2</v>
      </c>
      <c r="Y12" s="2">
        <f t="shared" si="2"/>
        <v>4.8499999999999996</v>
      </c>
      <c r="Z12" s="2">
        <v>2.5499999999999998</v>
      </c>
      <c r="AA12" s="2">
        <v>2.2999999999999998</v>
      </c>
      <c r="AB12" s="2">
        <f t="shared" si="3"/>
        <v>1.1030927835051547</v>
      </c>
    </row>
    <row r="13" spans="1:28" ht="29" x14ac:dyDescent="0.35">
      <c r="A13" s="8" t="s">
        <v>54</v>
      </c>
      <c r="B13" s="7" t="s">
        <v>51</v>
      </c>
      <c r="C13" s="2">
        <v>1200</v>
      </c>
      <c r="D13" s="2">
        <v>0.1</v>
      </c>
      <c r="E13" s="2" t="s">
        <v>44</v>
      </c>
      <c r="K13" s="2">
        <v>287</v>
      </c>
      <c r="L13" s="2">
        <v>15.3</v>
      </c>
      <c r="M13" s="2">
        <v>14.9</v>
      </c>
      <c r="N13" s="2">
        <f>17.7*(0.001)</f>
        <v>1.77E-2</v>
      </c>
      <c r="O13" s="2">
        <v>175</v>
      </c>
      <c r="P13" s="2">
        <v>18.5</v>
      </c>
      <c r="Q13" s="10">
        <f t="shared" si="0"/>
        <v>22.816363636363633</v>
      </c>
      <c r="R13" s="2">
        <v>197.2</v>
      </c>
      <c r="S13" s="2">
        <v>18</v>
      </c>
      <c r="T13" s="2">
        <v>29</v>
      </c>
      <c r="U13" s="2">
        <v>46.8</v>
      </c>
      <c r="V13" s="2">
        <f t="shared" si="4"/>
        <v>17.799999999999997</v>
      </c>
      <c r="W13" s="2">
        <v>6.8</v>
      </c>
      <c r="X13" s="2">
        <v>4.2</v>
      </c>
      <c r="Y13" s="2">
        <f t="shared" si="2"/>
        <v>7.05</v>
      </c>
      <c r="Z13" s="2">
        <v>4.75</v>
      </c>
      <c r="AA13" s="2">
        <v>2.2999999999999998</v>
      </c>
      <c r="AB13" s="2">
        <f t="shared" si="3"/>
        <v>0.78014184397163122</v>
      </c>
    </row>
    <row r="14" spans="1:28" ht="29" x14ac:dyDescent="0.35">
      <c r="A14" s="8" t="s">
        <v>55</v>
      </c>
      <c r="B14" s="7" t="s">
        <v>53</v>
      </c>
      <c r="C14" s="2">
        <v>1200</v>
      </c>
      <c r="D14" s="2">
        <v>0.14000000000000001</v>
      </c>
      <c r="E14" s="2" t="s">
        <v>45</v>
      </c>
      <c r="K14" s="2">
        <v>279</v>
      </c>
      <c r="L14" s="2">
        <v>9.8000000000000007</v>
      </c>
      <c r="M14" s="2">
        <v>9.0500000000000007</v>
      </c>
      <c r="N14" s="2">
        <f>18.3*(0.001)</f>
        <v>1.83E-2</v>
      </c>
      <c r="O14" s="2">
        <v>175</v>
      </c>
      <c r="P14" s="2">
        <v>25.6</v>
      </c>
      <c r="Q14" s="10">
        <f t="shared" si="0"/>
        <v>14.166355140186917</v>
      </c>
      <c r="R14" s="2">
        <v>195</v>
      </c>
      <c r="S14" s="2">
        <v>18</v>
      </c>
      <c r="T14" s="2">
        <v>26.7</v>
      </c>
      <c r="U14" s="2">
        <v>41</v>
      </c>
      <c r="V14" s="2">
        <f t="shared" si="4"/>
        <v>14.3</v>
      </c>
      <c r="W14" s="2">
        <v>6.5</v>
      </c>
      <c r="X14" s="2">
        <v>4.2</v>
      </c>
      <c r="Y14" s="2">
        <f t="shared" si="2"/>
        <v>5.3</v>
      </c>
      <c r="Z14" s="2">
        <v>3</v>
      </c>
      <c r="AA14" s="2">
        <v>2.2999999999999998</v>
      </c>
      <c r="AB14" s="2">
        <f t="shared" si="3"/>
        <v>1.0094339622641508</v>
      </c>
    </row>
    <row r="15" spans="1:28" ht="29" x14ac:dyDescent="0.35">
      <c r="A15" s="8" t="s">
        <v>57</v>
      </c>
      <c r="B15" s="7" t="s">
        <v>56</v>
      </c>
      <c r="C15" s="2">
        <v>1200</v>
      </c>
      <c r="D15" s="2">
        <v>0.13</v>
      </c>
      <c r="E15" s="2" t="s">
        <v>44</v>
      </c>
      <c r="K15" s="2">
        <v>214</v>
      </c>
      <c r="L15" s="2">
        <v>15.3</v>
      </c>
      <c r="M15" s="2">
        <v>14.9</v>
      </c>
      <c r="N15" s="2">
        <f>23.7*(0.001)</f>
        <v>2.3699999999999999E-2</v>
      </c>
      <c r="O15" s="2">
        <v>175</v>
      </c>
      <c r="P15" s="2">
        <v>14.2</v>
      </c>
      <c r="Q15" s="10">
        <f t="shared" si="0"/>
        <v>18.58636363636364</v>
      </c>
      <c r="R15" s="2">
        <v>150.1</v>
      </c>
      <c r="S15" s="2">
        <v>18</v>
      </c>
      <c r="T15" s="2">
        <v>22</v>
      </c>
      <c r="U15" s="2">
        <v>36.1</v>
      </c>
      <c r="V15" s="2">
        <f t="shared" si="4"/>
        <v>14.100000000000001</v>
      </c>
      <c r="W15" s="2">
        <v>6.8</v>
      </c>
      <c r="X15" s="2">
        <v>4.2</v>
      </c>
      <c r="Y15" s="2">
        <f t="shared" si="2"/>
        <v>7.25</v>
      </c>
      <c r="Z15" s="2">
        <v>4.95</v>
      </c>
      <c r="AA15" s="2">
        <v>2.2999999999999998</v>
      </c>
      <c r="AB15" s="2">
        <f t="shared" si="3"/>
        <v>0.75862068965517238</v>
      </c>
    </row>
    <row r="16" spans="1:28" ht="29" x14ac:dyDescent="0.35">
      <c r="A16" s="8" t="s">
        <v>59</v>
      </c>
      <c r="B16" s="7" t="s">
        <v>58</v>
      </c>
      <c r="C16" s="2">
        <v>1200</v>
      </c>
      <c r="D16" s="2">
        <v>0.13</v>
      </c>
      <c r="E16" s="2" t="s">
        <v>45</v>
      </c>
      <c r="K16" s="2">
        <v>268</v>
      </c>
      <c r="L16" s="2">
        <v>9.8000000000000007</v>
      </c>
      <c r="M16" s="2">
        <v>9.0500000000000007</v>
      </c>
      <c r="N16" s="2">
        <f>17.3*(0.001)</f>
        <v>1.7299999999999999E-2</v>
      </c>
      <c r="O16" s="2">
        <v>175</v>
      </c>
      <c r="P16" s="2">
        <v>17</v>
      </c>
      <c r="Q16" s="10">
        <f t="shared" si="0"/>
        <v>14.789915966386554</v>
      </c>
      <c r="R16" s="2">
        <v>178</v>
      </c>
      <c r="S16" s="2">
        <v>20</v>
      </c>
      <c r="T16" s="2">
        <v>28</v>
      </c>
      <c r="U16" s="2">
        <v>48</v>
      </c>
      <c r="V16" s="2">
        <f t="shared" si="4"/>
        <v>20</v>
      </c>
      <c r="W16" s="2">
        <v>7.5</v>
      </c>
      <c r="X16" s="2">
        <v>4.4000000000000004</v>
      </c>
      <c r="Y16" s="2">
        <f t="shared" si="2"/>
        <v>4.4000000000000004</v>
      </c>
      <c r="Z16" s="2">
        <v>2.4</v>
      </c>
      <c r="AA16" s="2">
        <v>2</v>
      </c>
      <c r="AB16" s="2">
        <f t="shared" si="3"/>
        <v>1.3522727272727273</v>
      </c>
    </row>
    <row r="17" spans="1:28" ht="29" x14ac:dyDescent="0.35">
      <c r="A17" s="8" t="s">
        <v>61</v>
      </c>
      <c r="B17" s="7" t="s">
        <v>60</v>
      </c>
      <c r="C17" s="2">
        <v>1200</v>
      </c>
      <c r="D17" s="2">
        <v>0.19</v>
      </c>
      <c r="E17" s="2" t="s">
        <v>45</v>
      </c>
      <c r="K17" s="2">
        <v>176</v>
      </c>
      <c r="L17" s="2">
        <v>9.8000000000000007</v>
      </c>
      <c r="M17" s="2">
        <v>9.0500000000000007</v>
      </c>
      <c r="N17" s="2">
        <f>28.9*(0.001)</f>
        <v>2.8899999999999999E-2</v>
      </c>
      <c r="O17" s="2">
        <v>175</v>
      </c>
      <c r="P17" s="2">
        <v>20.6</v>
      </c>
      <c r="Q17" s="10">
        <f t="shared" si="0"/>
        <v>10.951401869158879</v>
      </c>
      <c r="R17" s="2">
        <v>124</v>
      </c>
      <c r="S17" s="2">
        <v>18</v>
      </c>
      <c r="T17" s="2">
        <v>16.7</v>
      </c>
      <c r="U17" s="2">
        <v>26</v>
      </c>
      <c r="V17" s="2">
        <f t="shared" si="4"/>
        <v>9.3000000000000007</v>
      </c>
      <c r="W17" s="2">
        <v>6.5</v>
      </c>
      <c r="X17" s="2">
        <v>4.2</v>
      </c>
      <c r="Y17" s="2">
        <f t="shared" si="2"/>
        <v>6.3</v>
      </c>
      <c r="Z17" s="2">
        <v>4</v>
      </c>
      <c r="AA17" s="2">
        <v>2.2999999999999998</v>
      </c>
      <c r="AB17" s="2">
        <f t="shared" si="3"/>
        <v>0.84920634920634919</v>
      </c>
    </row>
    <row r="18" spans="1:28" ht="29" x14ac:dyDescent="0.35">
      <c r="A18" s="15" t="s">
        <v>63</v>
      </c>
      <c r="B18" s="7" t="s">
        <v>62</v>
      </c>
      <c r="C18" s="2">
        <v>900</v>
      </c>
      <c r="D18" s="2">
        <v>0.24</v>
      </c>
      <c r="E18" s="2" t="s">
        <v>45</v>
      </c>
      <c r="K18" s="2">
        <v>244</v>
      </c>
      <c r="L18" s="2">
        <v>10</v>
      </c>
      <c r="M18" s="2">
        <v>8.4</v>
      </c>
      <c r="N18" s="2">
        <f>18.5*(0.001)</f>
        <v>1.8499999999999999E-2</v>
      </c>
      <c r="O18" s="2">
        <v>175</v>
      </c>
      <c r="P18" s="2">
        <v>47</v>
      </c>
      <c r="Q18" s="10">
        <f t="shared" si="0"/>
        <v>45.5</v>
      </c>
      <c r="R18" s="2">
        <v>138</v>
      </c>
      <c r="S18" s="2">
        <v>18</v>
      </c>
      <c r="T18" s="2">
        <v>30</v>
      </c>
      <c r="U18" s="2">
        <v>43</v>
      </c>
      <c r="V18" s="2">
        <f t="shared" si="4"/>
        <v>13</v>
      </c>
      <c r="W18" s="2">
        <v>6.5</v>
      </c>
      <c r="X18" s="2">
        <v>3.1</v>
      </c>
      <c r="Y18" s="2">
        <f t="shared" si="2"/>
        <v>16.8</v>
      </c>
      <c r="Z18" s="2">
        <v>1.8</v>
      </c>
      <c r="AA18" s="2">
        <v>15</v>
      </c>
      <c r="AB18" s="2">
        <f t="shared" si="3"/>
        <v>0.2857142857142857</v>
      </c>
    </row>
    <row r="19" spans="1:28" ht="29" x14ac:dyDescent="0.35">
      <c r="A19" s="8" t="s">
        <v>65</v>
      </c>
      <c r="B19" s="7" t="s">
        <v>64</v>
      </c>
      <c r="C19" s="2">
        <v>1200</v>
      </c>
      <c r="D19" s="2">
        <v>0.25</v>
      </c>
      <c r="E19" s="2" t="s">
        <v>45</v>
      </c>
      <c r="K19" s="2">
        <v>126</v>
      </c>
      <c r="L19" s="2">
        <v>9.8000000000000007</v>
      </c>
      <c r="M19" s="2">
        <v>9.0500000000000007</v>
      </c>
      <c r="N19" s="2">
        <f>41*(0.001)</f>
        <v>4.1000000000000002E-2</v>
      </c>
      <c r="O19" s="2">
        <v>175</v>
      </c>
      <c r="P19" s="2">
        <v>18.2</v>
      </c>
      <c r="Q19" s="10">
        <f t="shared" si="0"/>
        <v>6.6373831775700936</v>
      </c>
      <c r="R19" s="2">
        <v>89</v>
      </c>
      <c r="S19" s="2">
        <v>18</v>
      </c>
      <c r="T19" s="2">
        <v>12.2</v>
      </c>
      <c r="U19" s="2">
        <v>18.899999999999999</v>
      </c>
      <c r="V19" s="2">
        <f t="shared" si="4"/>
        <v>6.6999999999999993</v>
      </c>
      <c r="W19" s="2">
        <v>6.5</v>
      </c>
      <c r="X19" s="2">
        <v>4.2</v>
      </c>
      <c r="Y19" s="2">
        <f t="shared" si="2"/>
        <v>5.3</v>
      </c>
      <c r="Z19" s="2">
        <v>3</v>
      </c>
      <c r="AA19" s="2">
        <v>2.2999999999999998</v>
      </c>
      <c r="AB19" s="2">
        <f t="shared" si="3"/>
        <v>1.0094339622641508</v>
      </c>
    </row>
    <row r="20" spans="1:28" ht="29" x14ac:dyDescent="0.35">
      <c r="A20" s="8" t="s">
        <v>67</v>
      </c>
      <c r="B20" s="7" t="s">
        <v>66</v>
      </c>
      <c r="C20" s="2">
        <v>1200</v>
      </c>
      <c r="D20" s="2">
        <v>0.2</v>
      </c>
      <c r="E20" s="2" t="s">
        <v>44</v>
      </c>
      <c r="K20" s="2">
        <v>126</v>
      </c>
      <c r="L20" s="2">
        <v>15.3</v>
      </c>
      <c r="M20" s="2">
        <v>14.9</v>
      </c>
      <c r="N20" s="2">
        <f>40.6*(0.001)</f>
        <v>4.0600000000000004E-2</v>
      </c>
      <c r="O20" s="2">
        <v>175</v>
      </c>
      <c r="P20" s="2">
        <v>6</v>
      </c>
      <c r="Q20" s="10">
        <f t="shared" si="0"/>
        <v>8.1309090909090873</v>
      </c>
      <c r="R20" s="2">
        <v>91.1</v>
      </c>
      <c r="S20" s="2">
        <v>18</v>
      </c>
      <c r="T20" s="2">
        <v>13.8</v>
      </c>
      <c r="U20" s="2">
        <v>22.4</v>
      </c>
      <c r="V20" s="2">
        <f t="shared" si="4"/>
        <v>8.5999999999999979</v>
      </c>
      <c r="W20" s="2">
        <v>6.8</v>
      </c>
      <c r="X20" s="2">
        <v>4.2</v>
      </c>
      <c r="Y20" s="2">
        <f t="shared" si="2"/>
        <v>5.1999999999999993</v>
      </c>
      <c r="Z20" s="2">
        <v>2.9</v>
      </c>
      <c r="AA20" s="2">
        <v>2.2999999999999998</v>
      </c>
      <c r="AB20" s="2">
        <f t="shared" si="3"/>
        <v>1.0576923076923079</v>
      </c>
    </row>
  </sheetData>
  <hyperlinks>
    <hyperlink ref="B2" r:id="rId1" xr:uid="{8A5BEB82-5995-4FCD-BE33-34F45413EAD1}"/>
    <hyperlink ref="B3" r:id="rId2" xr:uid="{ED0D05AC-8C49-4034-9C3D-B940CFC00CAD}"/>
    <hyperlink ref="B11" r:id="rId3" xr:uid="{7BEE2D56-82F7-49C6-8879-C0BE8FD53B67}"/>
    <hyperlink ref="B10" r:id="rId4" xr:uid="{7CC752DE-D250-418E-ABB1-0BD92E5A0259}"/>
    <hyperlink ref="B9" r:id="rId5" xr:uid="{546DB961-E5A1-4530-8964-ED811E06CAF3}"/>
    <hyperlink ref="B8" r:id="rId6" xr:uid="{81C906B4-A974-43AD-99FB-921D2BE2B59F}"/>
    <hyperlink ref="B7" r:id="rId7" xr:uid="{94234AB6-FEA0-4D7E-B69A-E8F941B10E13}"/>
    <hyperlink ref="B6" r:id="rId8" xr:uid="{29F8FA21-F41F-4487-8E5B-D1B2BF61DAD8}"/>
    <hyperlink ref="B5" r:id="rId9" xr:uid="{2A777F97-6E48-4ADF-A994-D90C10400081}"/>
    <hyperlink ref="B4" r:id="rId10" xr:uid="{BBEBC879-583B-45B4-82C6-7FB87341C452}"/>
    <hyperlink ref="B12" r:id="rId11" xr:uid="{DD087CED-BE96-4C7F-B324-5A9112061F3C}"/>
    <hyperlink ref="B13" r:id="rId12" xr:uid="{564C5891-5FB4-42CF-8D98-2463E856DE9B}"/>
    <hyperlink ref="B14" r:id="rId13" xr:uid="{33B19E0A-F57B-4B0B-878A-DD6CE6941333}"/>
    <hyperlink ref="B15" r:id="rId14" xr:uid="{6E626D2E-C0A2-4609-B6C1-E5DD43EF0ECB}"/>
    <hyperlink ref="B16" r:id="rId15" xr:uid="{DA76C68C-BD21-4A25-B86C-E3974390854A}"/>
    <hyperlink ref="B17" r:id="rId16" xr:uid="{184E926F-BDFA-47DA-86FD-BA6D45CC286A}"/>
    <hyperlink ref="B18" r:id="rId17" xr:uid="{47A65654-2B99-4A42-96F5-4E832953679B}"/>
    <hyperlink ref="B19" r:id="rId18" xr:uid="{3FBB7AF4-524B-4C2F-9210-A760A8F3CFD1}"/>
    <hyperlink ref="B20" r:id="rId19" xr:uid="{99DCDDEA-6FF8-43BA-96F2-F6A6D786E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2026-04-03T15:17:25Z</dcterms:modified>
</cp:coreProperties>
</file>