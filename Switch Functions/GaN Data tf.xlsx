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6366CBC2-8970-48B7-A068-5A4654DE4A4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1" l="1"/>
  <c r="X18" i="1" s="1"/>
  <c r="R18" i="1"/>
  <c r="M18" i="1" s="1"/>
  <c r="X17" i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<sst xmlns="http://schemas.openxmlformats.org/spreadsheetml/2006/main" count="75" uniqueCount="60">
  <si>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</si>
  <si>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</si>
  <si>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</si>
  <si>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</si>
  <si>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</si>
  <si>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</si>
  <si>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</si>
  <si>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</si>
  <si>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</si>
  <si>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</si>
  <si>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</si>
  <si>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</si>
  <si>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</si>
  <si>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</si>
  <si>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</si>
  <si>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</si>
  <si>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</si>
  <si>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</si>
  <si>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</si>
  <si>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</si>
  <si>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</si>
  <si>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</si>
  <si>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</si>
  <si>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</si>
  <si>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</si>
  <si>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</si>
  <si>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</si>
  <si>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</si>
  <si>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</si>
  <si>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</si>
  <si>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</si>
  <si>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</si>
  <si>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</si>
  <si>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</si>
  <si>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</si>
  <si>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</si>
  <si>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</si>
  <si>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</si>
  <si>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</si>
  <si>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</si>
  <si>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</si>
  <si>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</si>
  <si>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</si>
  <si>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</si>
  <si>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</si>
  <si>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</si>
  <si>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</si>
  <si>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</si>
  <si>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</si>
  <si>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</si>
  <si>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</si>
  <si>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</si>
  <si>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</si>
  <si>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</si>
  <si>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</si>
  <si>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</si>
  <si>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</si>
  <si>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</si>
  <si>
    <t>Infineon IGOT65R025</t>
  </si>
  <si>
    <t>IGOT65R025D2AUMA1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</si>
</sst>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1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8"/>
  <sheetViews>
    <sheetView tabSelected="1" zoomScale="76" zoomScaleNormal="140" workbookViewId="0">
      <selection activeCell="F17" sqref="F17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10" t="s">
        <v>33</v>
      </c>
      <c r="T1" s="10" t="s">
        <v>34</v>
      </c>
      <c r="U1" s="10" t="s">
        <v>35</v>
      </c>
      <c r="V1" s="10" t="s">
        <v>36</v>
      </c>
      <c r="W1" s="10" t="s">
        <v>37</v>
      </c>
      <c r="X1" s="10" t="s">
        <v>38</v>
      </c>
    </row>
    <row r="2" spans="1:24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40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8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8" si="1">Q2-P2</f>
        <v>0.99999999999999989</v>
      </c>
      <c r="S2" s="2">
        <v>2.5</v>
      </c>
      <c r="T2" s="2">
        <v>1.7</v>
      </c>
      <c r="U2" s="2">
        <f t="shared" ref="U2:U18" si="2">V2+W2</f>
        <v>3.3</v>
      </c>
      <c r="V2" s="2">
        <v>1.3</v>
      </c>
      <c r="W2" s="2">
        <v>2</v>
      </c>
      <c r="X2" s="2">
        <f t="shared" ref="X2:X18" si="3">(S2+T2)/(2*U2)</f>
        <v>0.63636363636363646</v>
      </c>
    </row>
    <row r="3" spans="1:24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40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</row>
    <row r="4" spans="1:24" ht="29" x14ac:dyDescent="0.35">
      <c r="A4" s="8" t="s">
        <v>27</v>
      </c>
      <c r="B4" s="5" t="s">
        <v>14</v>
      </c>
      <c r="C4" s="4">
        <v>700</v>
      </c>
      <c r="D4" s="4">
        <v>0.49</v>
      </c>
      <c r="E4" s="4" t="s">
        <v>40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</row>
    <row r="5" spans="1:24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40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3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</row>
    <row r="6" spans="1:24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40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3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</row>
    <row r="7" spans="1:24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40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</row>
    <row r="8" spans="1:24" ht="29" x14ac:dyDescent="0.35">
      <c r="A8" s="8" t="s">
        <v>24</v>
      </c>
      <c r="B8" s="5" t="s">
        <v>10</v>
      </c>
      <c r="C8" s="4">
        <v>650</v>
      </c>
      <c r="D8" s="4">
        <v>0.65</v>
      </c>
      <c r="E8" s="4" t="s">
        <v>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</row>
    <row r="9" spans="1:24" ht="29" x14ac:dyDescent="0.35">
      <c r="A9" s="8" t="s">
        <v>23</v>
      </c>
      <c r="B9" s="5" t="s">
        <v>12</v>
      </c>
      <c r="C9" s="4">
        <v>650</v>
      </c>
      <c r="D9" s="4">
        <v>0.8</v>
      </c>
      <c r="E9" s="4" t="s">
        <v>40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</row>
    <row r="10" spans="1:24" ht="29" x14ac:dyDescent="0.35">
      <c r="A10" s="8" t="s">
        <v>42</v>
      </c>
      <c r="B10" s="12" t="s">
        <v>41</v>
      </c>
      <c r="C10" s="4">
        <v>650</v>
      </c>
      <c r="D10" s="4">
        <v>0.31</v>
      </c>
      <c r="E10" s="4" t="s">
        <v>40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</row>
    <row r="11" spans="1:24" ht="29" x14ac:dyDescent="0.35">
      <c r="A11" s="13" t="s">
        <v>44</v>
      </c>
      <c r="B11" s="12" t="s">
        <v>43</v>
      </c>
      <c r="C11" s="4">
        <v>650</v>
      </c>
      <c r="D11" s="4">
        <v>0.5</v>
      </c>
      <c r="E11" s="4" t="s">
        <v>45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</row>
    <row r="12" spans="1:24" ht="29" x14ac:dyDescent="0.35">
      <c r="A12" s="8" t="s">
        <v>47</v>
      </c>
      <c r="B12" s="12" t="s">
        <v>46</v>
      </c>
      <c r="C12" s="4">
        <v>650</v>
      </c>
      <c r="D12" s="4">
        <v>0.65</v>
      </c>
      <c r="E12" s="4" t="s">
        <v>45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</row>
    <row r="13" spans="1:24" ht="29" x14ac:dyDescent="0.35">
      <c r="A13" s="8" t="s">
        <v>49</v>
      </c>
      <c r="B13" s="12" t="s">
        <v>48</v>
      </c>
      <c r="C13" s="4">
        <v>650</v>
      </c>
      <c r="D13" s="4">
        <v>0.81</v>
      </c>
      <c r="E13" s="4" t="s">
        <v>45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3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</row>
    <row r="14" spans="1:24" ht="29" x14ac:dyDescent="0.35">
      <c r="A14" s="8" t="s">
        <v>51</v>
      </c>
      <c r="B14" s="12" t="s">
        <v>50</v>
      </c>
      <c r="C14" s="4">
        <v>650</v>
      </c>
      <c r="D14" s="4">
        <v>0.94</v>
      </c>
      <c r="E14" s="4" t="s">
        <v>45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3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</row>
    <row r="15" spans="1:24" ht="29" x14ac:dyDescent="0.35">
      <c r="A15" s="8" t="s">
        <v>53</v>
      </c>
      <c r="B15" s="12" t="s">
        <v>52</v>
      </c>
      <c r="C15" s="4">
        <v>650</v>
      </c>
      <c r="D15" s="4">
        <v>0.95</v>
      </c>
      <c r="E15" s="4" t="s">
        <v>40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3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</row>
    <row r="16" spans="1:24" ht="29" x14ac:dyDescent="0.35">
      <c r="A16" s="8" t="s">
        <v>55</v>
      </c>
      <c r="B16" s="12" t="s">
        <v>54</v>
      </c>
      <c r="C16" s="4">
        <v>650</v>
      </c>
      <c r="D16" s="4">
        <v>1</v>
      </c>
      <c r="E16" s="4" t="s">
        <v>45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3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</row>
    <row r="17" spans="1:24" ht="29" x14ac:dyDescent="0.35">
      <c r="A17" s="8" t="s">
        <v>57</v>
      </c>
      <c r="B17" s="12" t="s">
        <v>56</v>
      </c>
      <c r="C17" s="4">
        <v>650</v>
      </c>
      <c r="D17" s="4">
        <v>1.2</v>
      </c>
      <c r="E17" s="4" t="s">
        <v>45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3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</row>
    <row r="18" spans="1:24" ht="29" x14ac:dyDescent="0.35">
      <c r="A18" s="8" t="s">
        <v>58</v>
      </c>
      <c r="B18" s="12" t="s">
        <v>59</v>
      </c>
      <c r="C18" s="4">
        <v>650</v>
      </c>
      <c r="D18" s="4">
        <v>0.68</v>
      </c>
      <c r="E18" s="4" t="s">
        <v>45</v>
      </c>
      <c r="G18" s="4">
        <v>130</v>
      </c>
      <c r="H18" s="4">
        <v>15.64</v>
      </c>
      <c r="I18" s="4">
        <v>10.85</v>
      </c>
      <c r="J18" s="2">
        <v>5.2999999999999999E-2</v>
      </c>
      <c r="K18" s="2">
        <v>150</v>
      </c>
      <c r="L18" s="7">
        <v>12</v>
      </c>
      <c r="M18" s="7">
        <f t="shared" si="0"/>
        <v>1.5466666666666671</v>
      </c>
      <c r="N18" s="2">
        <v>11</v>
      </c>
      <c r="O18" s="2">
        <v>3</v>
      </c>
      <c r="P18" s="2">
        <v>1</v>
      </c>
      <c r="Q18" s="2">
        <v>1.8</v>
      </c>
      <c r="R18" s="2">
        <f t="shared" si="1"/>
        <v>0.8</v>
      </c>
      <c r="S18" s="2">
        <v>1.8</v>
      </c>
      <c r="T18" s="2">
        <v>1.2</v>
      </c>
      <c r="U18" s="2">
        <f t="shared" si="2"/>
        <v>2.9000000000000004</v>
      </c>
      <c r="V18" s="2">
        <v>0.7</v>
      </c>
      <c r="W18" s="2">
        <v>2.2000000000000002</v>
      </c>
      <c r="X18" s="2">
        <f t="shared" si="3"/>
        <v>0.51724137931034475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  <hyperlink ref="B18" r:id="rId17" xr:uid="{F9225203-FC35-489F-996F-35C0871FC8D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2026-05-25T19:37:46Z</dcterms:modified>
</cp:coreProperties>
</file>