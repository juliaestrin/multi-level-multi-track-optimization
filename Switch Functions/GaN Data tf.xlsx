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MIT\Project\GE Vernova\Component\"/>
    </mc:Choice>
  </mc:AlternateContent>
  <xr:revisionPtr revIDLastSave="0" documentId="13_ncr:1_{496B07B5-F8FA-4255-B289-6FAA99E50D4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1" l="1"/>
  <c r="M9" i="1"/>
  <c r="X9" i="1"/>
  <c r="U9" i="1"/>
  <c r="U8" i="1" l="1"/>
  <c r="X8" i="1"/>
  <c r="M8" i="1" s="1"/>
  <c r="R8" i="1"/>
  <c r="R7" i="1"/>
  <c r="U7" i="1"/>
  <c r="X7" i="1" s="1"/>
  <c r="M7" i="1" s="1"/>
  <c r="R6" i="1"/>
  <c r="M6" i="1"/>
  <c r="X6" i="1"/>
  <c r="U6" i="1"/>
  <c r="M5" i="1"/>
  <c r="X5" i="1"/>
  <c r="R5" i="1"/>
  <c r="U5" i="1"/>
  <c r="M4" i="1"/>
  <c r="X4" i="1"/>
  <c r="R4" i="1"/>
  <c r="U4" i="1"/>
  <c r="M3" i="1"/>
  <c r="X3" i="1"/>
  <c r="R3" i="1"/>
  <c r="U3" i="1"/>
  <c r="M2" i="1"/>
  <c r="X2" i="1"/>
  <c r="R2" i="1"/>
  <c r="U2" i="1"/>
</calcChain>
</file>

<file path=xl/sharedStrings.xml><?xml version="1.0" encoding="utf-8"?>
<sst xmlns="http://schemas.openxmlformats.org/spreadsheetml/2006/main" count="41" uniqueCount="41">
  <si>
    <t>Part Number</t>
  </si>
  <si>
    <t>Vds, max [V]</t>
  </si>
  <si>
    <t>Rth,JC [°C/W]</t>
  </si>
  <si>
    <t>Qoss @ Vds=420V [nC]</t>
  </si>
  <si>
    <t>Eoss @ Vds = 420V [uJ]</t>
  </si>
  <si>
    <t>Coss @ Vds = 420V [pF]</t>
  </si>
  <si>
    <t>Lmin [mm]</t>
  </si>
  <si>
    <t>Wmin [mm]</t>
  </si>
  <si>
    <t>IGT65R025D2ATMA1</t>
  </si>
  <si>
    <t>GS66516BMRXUSA1</t>
  </si>
  <si>
    <t>N/A</t>
  </si>
  <si>
    <t>GAN039-650NBBHP</t>
  </si>
  <si>
    <t>TP65H030G4PQS-TR</t>
  </si>
  <si>
    <t>IGT65R035D2ATMA1</t>
  </si>
  <si>
    <t>TP65H035G4QS</t>
  </si>
  <si>
    <t>GS0650306LLMRXUMA1</t>
  </si>
  <si>
    <t>GS0650306LRMRXUSA1</t>
  </si>
  <si>
    <t>Rds,on,max [Ω]</t>
  </si>
  <si>
    <t>T_j,max  [°C]</t>
  </si>
  <si>
    <t>t_r [ns]</t>
  </si>
  <si>
    <t>t_f [ns]</t>
  </si>
  <si>
    <t>Name</t>
  </si>
  <si>
    <t>Nexperia GAN039</t>
  </si>
  <si>
    <t>Infineon IGT65R035</t>
  </si>
  <si>
    <t>Infineon IGT65R025</t>
  </si>
  <si>
    <t>Renesas 035G4QS</t>
  </si>
  <si>
    <t>Renesas 030G4PQS</t>
  </si>
  <si>
    <t>GaN Systems GS665</t>
  </si>
  <si>
    <t>GaN Systems GS065-LL</t>
  </si>
  <si>
    <t>GaN Systems GSO65-LR</t>
  </si>
  <si>
    <t>Qg [nC]</t>
  </si>
  <si>
    <t>Vgs [V]</t>
  </si>
  <si>
    <t>Q_gs(th)</t>
  </si>
  <si>
    <t>Q_gs</t>
  </si>
  <si>
    <t>Q_gs2</t>
  </si>
  <si>
    <t>V_pl_q1</t>
  </si>
  <si>
    <t>V_th</t>
  </si>
  <si>
    <t>R_goff</t>
  </si>
  <si>
    <t>R_g(int)</t>
  </si>
  <si>
    <t>R_g (test)</t>
  </si>
  <si>
    <t>I_gc_cf_off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</si>
</sst>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rgb="FF0563C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GS0650306LRMRXUSA1/23023357" TargetMode="External"/><Relationship Id="rId3" Type="http://schemas.openxmlformats.org/officeDocument/2006/relationships/hyperlink" Target="https://www.digikey.com/en/products/detail/nexperia-usa-inc/GAN039-650NBBHP/22050104" TargetMode="External"/><Relationship Id="rId7" Type="http://schemas.openxmlformats.org/officeDocument/2006/relationships/hyperlink" Target="https://www.digikey.com/en/products/detail/infineon-technologies/GS0650306LLMRXUMA1/24614884" TargetMode="External"/><Relationship Id="rId2" Type="http://schemas.openxmlformats.org/officeDocument/2006/relationships/hyperlink" Target="https://www.digikey.com/en/products/detail/infineon-technologies/GS66516BMRXUSA1/23023338" TargetMode="External"/><Relationship Id="rId1" Type="http://schemas.openxmlformats.org/officeDocument/2006/relationships/hyperlink" Target="https://www.digikey.com/en/products/detail/infineon-technologies/IGT65R025D2ATMA1/25880142" TargetMode="External"/><Relationship Id="rId6" Type="http://schemas.openxmlformats.org/officeDocument/2006/relationships/hyperlink" Target="https://www.digikey.com/en/products/detail/renesas-electronics-corporation/TP65H035G4QS/22041546" TargetMode="External"/><Relationship Id="rId5" Type="http://schemas.openxmlformats.org/officeDocument/2006/relationships/hyperlink" Target="https://www.digikey.com/en/products/detail/infineon-technologies/IGT65R035D2ATMA1/25819951" TargetMode="External"/><Relationship Id="rId4" Type="http://schemas.openxmlformats.org/officeDocument/2006/relationships/hyperlink" Target="https://www.digikey.com/en/products/detail/renesas-electronics-corporation/TP65H030G4PQS-TR/266928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9"/>
  <sheetViews>
    <sheetView tabSelected="1" zoomScale="76" zoomScaleNormal="140" workbookViewId="0">
      <selection activeCell="I15" sqref="I15"/>
    </sheetView>
  </sheetViews>
  <sheetFormatPr defaultRowHeight="14.5" x14ac:dyDescent="0.35"/>
  <cols>
    <col min="1" max="1" width="14.26953125" customWidth="1"/>
    <col min="2" max="2" width="11.90625" customWidth="1"/>
    <col min="3" max="3" width="12.90625" customWidth="1"/>
    <col min="4" max="4" width="12.7265625" customWidth="1"/>
    <col min="5" max="5" width="20.81640625" customWidth="1"/>
    <col min="6" max="6" width="20.6328125" customWidth="1"/>
    <col min="7" max="7" width="21.54296875" customWidth="1"/>
    <col min="8" max="8" width="11.6328125" customWidth="1"/>
    <col min="9" max="9" width="13.08984375" customWidth="1"/>
    <col min="10" max="10" width="13.81640625" customWidth="1"/>
    <col min="11" max="11" width="12.08984375" customWidth="1"/>
    <col min="14" max="14" width="9.90625" customWidth="1"/>
    <col min="15" max="15" width="8.7265625" style="2"/>
    <col min="17" max="18" width="8.7265625" style="2"/>
    <col min="20" max="20" width="8.7265625" style="2"/>
    <col min="22" max="24" width="8.7265625" style="2"/>
  </cols>
  <sheetData>
    <row r="1" spans="1:24" x14ac:dyDescent="0.3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6" t="s">
        <v>6</v>
      </c>
      <c r="I1" s="3" t="s">
        <v>7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30</v>
      </c>
      <c r="O1" s="9" t="s">
        <v>31</v>
      </c>
      <c r="P1" s="10" t="s">
        <v>32</v>
      </c>
      <c r="Q1" s="10" t="s">
        <v>33</v>
      </c>
      <c r="R1" s="10" t="s">
        <v>34</v>
      </c>
      <c r="S1" s="10" t="s">
        <v>35</v>
      </c>
      <c r="T1" s="10" t="s">
        <v>36</v>
      </c>
      <c r="U1" s="10" t="s">
        <v>37</v>
      </c>
      <c r="V1" s="10" t="s">
        <v>38</v>
      </c>
      <c r="W1" s="10" t="s">
        <v>39</v>
      </c>
      <c r="X1" s="10" t="s">
        <v>40</v>
      </c>
    </row>
    <row r="2" spans="1:24" ht="29" x14ac:dyDescent="0.35">
      <c r="A2" s="8" t="s">
        <v>28</v>
      </c>
      <c r="B2" s="5" t="s">
        <v>15</v>
      </c>
      <c r="C2" s="4">
        <v>700</v>
      </c>
      <c r="D2" s="4">
        <v>0.46</v>
      </c>
      <c r="E2" s="4">
        <v>66</v>
      </c>
      <c r="F2" s="4">
        <v>9</v>
      </c>
      <c r="G2" s="4">
        <v>70</v>
      </c>
      <c r="H2" s="4">
        <v>10.38</v>
      </c>
      <c r="I2" s="4">
        <v>9.9</v>
      </c>
      <c r="J2" s="2">
        <v>0.1</v>
      </c>
      <c r="K2" s="2">
        <v>150</v>
      </c>
      <c r="L2" s="7">
        <v>6.3</v>
      </c>
      <c r="M2" s="7">
        <f>R2/X2</f>
        <v>1.571428571428571</v>
      </c>
      <c r="N2" s="2">
        <v>6.7</v>
      </c>
      <c r="O2" s="2">
        <v>6</v>
      </c>
      <c r="P2" s="2">
        <v>0.9</v>
      </c>
      <c r="Q2" s="2">
        <v>1.9</v>
      </c>
      <c r="R2" s="2">
        <f>Q2-P2</f>
        <v>0.99999999999999989</v>
      </c>
      <c r="S2" s="2">
        <v>2.5</v>
      </c>
      <c r="T2" s="2">
        <v>1.7</v>
      </c>
      <c r="U2" s="2">
        <f>V2+W2</f>
        <v>3.3</v>
      </c>
      <c r="V2" s="2">
        <v>1.3</v>
      </c>
      <c r="W2" s="2">
        <v>2</v>
      </c>
      <c r="X2" s="2">
        <f>(S2+T2)/(2*U2)</f>
        <v>0.63636363636363646</v>
      </c>
    </row>
    <row r="3" spans="1:24" ht="29" x14ac:dyDescent="0.35">
      <c r="A3" s="8" t="s">
        <v>27</v>
      </c>
      <c r="B3" s="5" t="s">
        <v>9</v>
      </c>
      <c r="C3" s="4">
        <v>650</v>
      </c>
      <c r="D3" s="4">
        <v>0.27</v>
      </c>
      <c r="E3" s="4" t="s">
        <v>10</v>
      </c>
      <c r="F3" s="4">
        <v>18</v>
      </c>
      <c r="G3" s="4">
        <v>126</v>
      </c>
      <c r="H3" s="4">
        <v>8.92</v>
      </c>
      <c r="I3" s="4">
        <v>10.92</v>
      </c>
      <c r="J3" s="2">
        <v>6.5000000000000002E-2</v>
      </c>
      <c r="K3" s="2">
        <v>150</v>
      </c>
      <c r="L3" s="7">
        <v>12.4</v>
      </c>
      <c r="M3" s="7">
        <f>R3/X3</f>
        <v>4.0595744680851062</v>
      </c>
      <c r="N3" s="2">
        <v>14.2</v>
      </c>
      <c r="O3" s="2">
        <v>6</v>
      </c>
      <c r="P3" s="2">
        <v>2</v>
      </c>
      <c r="Q3" s="2">
        <v>3.8</v>
      </c>
      <c r="R3" s="2">
        <f>Q3-P3</f>
        <v>1.7999999999999998</v>
      </c>
      <c r="S3" s="2">
        <v>3</v>
      </c>
      <c r="T3" s="2">
        <v>1.7</v>
      </c>
      <c r="U3" s="2">
        <f>V3+W3</f>
        <v>5.3</v>
      </c>
      <c r="V3" s="2">
        <v>0.3</v>
      </c>
      <c r="W3" s="2">
        <v>5</v>
      </c>
      <c r="X3" s="2">
        <f>(S3+T3)/(2*U3)</f>
        <v>0.44339622641509435</v>
      </c>
    </row>
    <row r="4" spans="1:24" ht="29" x14ac:dyDescent="0.35">
      <c r="A4" s="8" t="s">
        <v>29</v>
      </c>
      <c r="B4" s="5" t="s">
        <v>16</v>
      </c>
      <c r="C4" s="4">
        <v>700</v>
      </c>
      <c r="D4" s="4">
        <v>0.49</v>
      </c>
      <c r="E4" s="4">
        <v>66</v>
      </c>
      <c r="F4" s="4">
        <v>9</v>
      </c>
      <c r="G4" s="4">
        <v>70</v>
      </c>
      <c r="H4" s="4">
        <v>8</v>
      </c>
      <c r="I4" s="4">
        <v>8</v>
      </c>
      <c r="J4" s="2">
        <v>9.6000000000000002E-2</v>
      </c>
      <c r="K4" s="2">
        <v>150</v>
      </c>
      <c r="L4" s="7">
        <v>6.3</v>
      </c>
      <c r="M4" s="7">
        <f>R4/X4</f>
        <v>1.571428571428571</v>
      </c>
      <c r="N4" s="2">
        <v>6.7</v>
      </c>
      <c r="O4" s="2">
        <v>6</v>
      </c>
      <c r="P4" s="2">
        <v>0.9</v>
      </c>
      <c r="Q4" s="2">
        <v>1.9</v>
      </c>
      <c r="R4" s="2">
        <f>Q4-P4</f>
        <v>0.99999999999999989</v>
      </c>
      <c r="S4" s="2">
        <v>2.5</v>
      </c>
      <c r="T4" s="2">
        <v>1.7</v>
      </c>
      <c r="U4" s="2">
        <f>V4+W4</f>
        <v>3.3</v>
      </c>
      <c r="V4" s="2">
        <v>1.3</v>
      </c>
      <c r="W4" s="2">
        <v>2</v>
      </c>
      <c r="X4" s="2">
        <f>(S4+T4)/(2*U4)</f>
        <v>0.63636363636363646</v>
      </c>
    </row>
    <row r="5" spans="1:24" ht="29" x14ac:dyDescent="0.35">
      <c r="A5" s="8" t="s">
        <v>24</v>
      </c>
      <c r="B5" s="5" t="s">
        <v>8</v>
      </c>
      <c r="C5" s="4">
        <v>650</v>
      </c>
      <c r="D5" s="4">
        <v>0.53</v>
      </c>
      <c r="E5" s="4">
        <v>85</v>
      </c>
      <c r="F5" s="4">
        <v>13</v>
      </c>
      <c r="G5" s="4">
        <v>130</v>
      </c>
      <c r="H5" s="4">
        <v>10.275</v>
      </c>
      <c r="I5" s="4">
        <v>9.6999999999999993</v>
      </c>
      <c r="J5" s="2">
        <v>5.2999999999999999E-2</v>
      </c>
      <c r="K5" s="2">
        <v>150</v>
      </c>
      <c r="L5" s="7">
        <v>12</v>
      </c>
      <c r="M5" s="7">
        <f>R5/X5</f>
        <v>1.5466666666666671</v>
      </c>
      <c r="N5" s="2">
        <v>11</v>
      </c>
      <c r="O5" s="2">
        <v>3</v>
      </c>
      <c r="P5" s="11">
        <v>1</v>
      </c>
      <c r="Q5" s="2">
        <v>1.8</v>
      </c>
      <c r="R5" s="2">
        <f>Q5-P5</f>
        <v>0.8</v>
      </c>
      <c r="S5" s="2">
        <v>1.8</v>
      </c>
      <c r="T5" s="2">
        <v>1.2</v>
      </c>
      <c r="U5" s="2">
        <f>V5+W5</f>
        <v>2.9000000000000004</v>
      </c>
      <c r="V5" s="2">
        <v>0.7</v>
      </c>
      <c r="W5" s="2">
        <v>2.2000000000000002</v>
      </c>
      <c r="X5" s="2">
        <f>(S5+T5)/(2*U5)</f>
        <v>0.51724137931034475</v>
      </c>
    </row>
    <row r="6" spans="1:24" ht="29" x14ac:dyDescent="0.35">
      <c r="A6" s="8" t="s">
        <v>23</v>
      </c>
      <c r="B6" s="5" t="s">
        <v>13</v>
      </c>
      <c r="C6" s="4">
        <v>650</v>
      </c>
      <c r="D6" s="4">
        <v>0.76</v>
      </c>
      <c r="E6" s="4">
        <v>59</v>
      </c>
      <c r="F6" s="4">
        <v>9</v>
      </c>
      <c r="G6" s="4">
        <v>91</v>
      </c>
      <c r="H6" s="4">
        <v>10.275</v>
      </c>
      <c r="I6" s="4">
        <v>9.6999999999999993</v>
      </c>
      <c r="J6" s="2">
        <v>7.4999999999999997E-2</v>
      </c>
      <c r="K6" s="2">
        <v>150</v>
      </c>
      <c r="L6" s="7">
        <v>10</v>
      </c>
      <c r="M6" s="7">
        <f>R6/X6</f>
        <v>1.7233333333333332</v>
      </c>
      <c r="N6" s="2">
        <v>7.7</v>
      </c>
      <c r="O6" s="2">
        <v>3</v>
      </c>
      <c r="P6" s="11">
        <v>0.7</v>
      </c>
      <c r="Q6" s="2">
        <v>1.25</v>
      </c>
      <c r="R6" s="2">
        <f>Q6-P6</f>
        <v>0.55000000000000004</v>
      </c>
      <c r="S6" s="2">
        <v>1.8</v>
      </c>
      <c r="T6" s="2">
        <v>1.2</v>
      </c>
      <c r="U6" s="2">
        <f>V6+W6</f>
        <v>4.6999999999999993</v>
      </c>
      <c r="V6" s="2">
        <v>1.4</v>
      </c>
      <c r="W6" s="2">
        <v>3.3</v>
      </c>
      <c r="X6" s="2">
        <f>(S6+T6)/(2*U6)</f>
        <v>0.31914893617021284</v>
      </c>
    </row>
    <row r="7" spans="1:24" ht="29" x14ac:dyDescent="0.35">
      <c r="A7" s="8" t="s">
        <v>22</v>
      </c>
      <c r="B7" s="5" t="s">
        <v>11</v>
      </c>
      <c r="C7" s="4">
        <v>650</v>
      </c>
      <c r="D7" s="4">
        <v>0.5</v>
      </c>
      <c r="E7" s="4">
        <v>175</v>
      </c>
      <c r="F7" s="4">
        <v>19</v>
      </c>
      <c r="G7" s="4">
        <v>144</v>
      </c>
      <c r="H7" s="4">
        <v>11.85</v>
      </c>
      <c r="I7" s="4">
        <v>9.25</v>
      </c>
      <c r="J7" s="2">
        <v>8.5999999999999993E-2</v>
      </c>
      <c r="K7" s="2">
        <v>150</v>
      </c>
      <c r="L7" s="7">
        <v>10</v>
      </c>
      <c r="M7" s="7">
        <f>R7/X7</f>
        <v>7.4468085106382951</v>
      </c>
      <c r="N7" s="2">
        <v>26</v>
      </c>
      <c r="O7" s="2">
        <v>10</v>
      </c>
      <c r="P7" s="11">
        <v>7.4</v>
      </c>
      <c r="Q7" s="2">
        <v>10.199999999999999</v>
      </c>
      <c r="R7" s="2">
        <f>Q7-P7</f>
        <v>2.7999999999999989</v>
      </c>
      <c r="S7" s="2">
        <v>5.5</v>
      </c>
      <c r="T7" s="2">
        <v>3.9</v>
      </c>
      <c r="U7" s="2">
        <f>V7+W7</f>
        <v>12.5</v>
      </c>
      <c r="V7" s="2">
        <v>0.5</v>
      </c>
      <c r="W7" s="2">
        <v>12</v>
      </c>
      <c r="X7" s="2">
        <f>(S7+T7)/(2*U7)</f>
        <v>0.376</v>
      </c>
    </row>
    <row r="8" spans="1:24" ht="29" x14ac:dyDescent="0.35">
      <c r="A8" s="8" t="s">
        <v>26</v>
      </c>
      <c r="B8" s="5" t="s">
        <v>12</v>
      </c>
      <c r="C8" s="4">
        <v>650</v>
      </c>
      <c r="D8" s="4">
        <v>0.65</v>
      </c>
      <c r="E8" s="4">
        <v>140</v>
      </c>
      <c r="F8" s="4">
        <v>16</v>
      </c>
      <c r="G8" s="4">
        <v>127</v>
      </c>
      <c r="H8" s="4">
        <v>10.28</v>
      </c>
      <c r="I8" s="4">
        <v>9.6999999999999993</v>
      </c>
      <c r="J8" s="2">
        <v>6.2E-2</v>
      </c>
      <c r="K8" s="2">
        <v>150</v>
      </c>
      <c r="L8" s="7">
        <v>6.4</v>
      </c>
      <c r="M8" s="13">
        <f>R8/X8</f>
        <v>13.578947368421055</v>
      </c>
      <c r="N8" s="12">
        <v>24.5</v>
      </c>
      <c r="O8" s="2">
        <v>12</v>
      </c>
      <c r="P8" s="11">
        <v>6.25</v>
      </c>
      <c r="Q8" s="2">
        <v>8.4</v>
      </c>
      <c r="R8" s="2">
        <f>Q8-P8</f>
        <v>2.1500000000000004</v>
      </c>
      <c r="S8" s="2">
        <v>5.5</v>
      </c>
      <c r="T8" s="2">
        <v>4</v>
      </c>
      <c r="U8" s="2">
        <f>V8+W8</f>
        <v>30</v>
      </c>
      <c r="W8" s="2">
        <v>30</v>
      </c>
      <c r="X8" s="2">
        <f>(S8+T8)/(2*U8)</f>
        <v>0.15833333333333333</v>
      </c>
    </row>
    <row r="9" spans="1:24" ht="29" x14ac:dyDescent="0.35">
      <c r="A9" s="8" t="s">
        <v>25</v>
      </c>
      <c r="B9" s="5" t="s">
        <v>14</v>
      </c>
      <c r="C9" s="4">
        <v>650</v>
      </c>
      <c r="D9" s="4">
        <v>0.8</v>
      </c>
      <c r="E9" s="4">
        <v>150</v>
      </c>
      <c r="F9" s="4">
        <v>17.5</v>
      </c>
      <c r="G9" s="4">
        <v>147</v>
      </c>
      <c r="H9" s="4">
        <v>10.28</v>
      </c>
      <c r="I9" s="4">
        <v>9.6999999999999993</v>
      </c>
      <c r="J9" s="2">
        <v>7.1999999999999995E-2</v>
      </c>
      <c r="K9" s="2">
        <v>150</v>
      </c>
      <c r="L9" s="7">
        <v>10</v>
      </c>
      <c r="M9" s="13">
        <f>R9/X9</f>
        <v>14.526315789473689</v>
      </c>
      <c r="N9" s="2">
        <v>22</v>
      </c>
      <c r="O9" s="2">
        <v>10</v>
      </c>
      <c r="P9" s="11">
        <v>6.1</v>
      </c>
      <c r="Q9" s="2">
        <v>8.4</v>
      </c>
      <c r="R9" s="2">
        <f>Q9-P9</f>
        <v>2.3000000000000007</v>
      </c>
      <c r="S9" s="2">
        <v>5.5</v>
      </c>
      <c r="T9" s="2">
        <v>4</v>
      </c>
      <c r="U9" s="2">
        <f>V9+W9</f>
        <v>30</v>
      </c>
      <c r="W9" s="2">
        <v>30</v>
      </c>
      <c r="X9" s="2">
        <f>(S9+T9)/(2*U9)</f>
        <v>0.15833333333333333</v>
      </c>
    </row>
  </sheetData>
  <sortState xmlns:xlrd2="http://schemas.microsoft.com/office/spreadsheetml/2017/richdata2" ref="A2:M9">
    <sortCondition ref="A1:A9"/>
  </sortState>
  <hyperlinks>
    <hyperlink ref="B5" r:id="rId1" xr:uid="{E731582E-10C7-4A66-8A8F-8353EE9962B4}"/>
    <hyperlink ref="B3" r:id="rId2" xr:uid="{DD679AF5-F164-4D85-AB75-6A325B78E768}"/>
    <hyperlink ref="B7" r:id="rId3" xr:uid="{B89537E8-E2AB-4CE6-A42B-5FE948E56EAE}"/>
    <hyperlink ref="B8" r:id="rId4" xr:uid="{96BEC7D9-FDCF-405C-9D88-9ACE5DA1EA51}"/>
    <hyperlink ref="B6" r:id="rId5" xr:uid="{D721005D-7D84-4B1B-8977-DD5060454D9B}"/>
    <hyperlink ref="B9" r:id="rId6" xr:uid="{9BF96118-FA77-4AA4-99CC-6FEB15379AFF}"/>
    <hyperlink ref="B2" r:id="rId7" xr:uid="{195B1C28-C3DF-4D3A-919D-115D1FB12604}"/>
    <hyperlink ref="B4" r:id="rId8" xr:uid="{A3A31E43-474D-4BD8-8613-CDDAF7E623D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2026-03-06T19:07:11Z</dcterms:modified>
</cp:coreProperties>
</file>