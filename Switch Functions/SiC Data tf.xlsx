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3EA72262-FB58-4686-9934-CBBBCA88E7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1" l="1"/>
  <c r="Q10" i="1" s="1"/>
  <c r="AB10" i="1"/>
  <c r="Y10" i="1"/>
  <c r="V9" i="1"/>
  <c r="AB9" i="1"/>
  <c r="Q9" i="1" s="1"/>
  <c r="Y9" i="1"/>
  <c r="AB8" i="1"/>
  <c r="V8" i="1"/>
  <c r="Y8" i="1"/>
  <c r="AB7" i="1"/>
  <c r="V7" i="1"/>
  <c r="Y7" i="1"/>
  <c r="V6" i="1"/>
  <c r="Y6" i="1"/>
  <c r="AB6" i="1" s="1"/>
  <c r="Q6" i="1" s="1"/>
  <c r="Q3" i="1"/>
  <c r="Q2" i="1"/>
  <c r="Y4" i="1"/>
  <c r="AB4" i="1" s="1"/>
  <c r="Y5" i="1"/>
  <c r="AB5" i="1" s="1"/>
  <c r="V5" i="1"/>
  <c r="V4" i="1"/>
  <c r="Y3" i="1"/>
  <c r="AB3" i="1" s="1"/>
  <c r="V3" i="1"/>
  <c r="V2" i="1"/>
  <c r="Y2" i="1"/>
  <c r="AB2" i="1" s="1"/>
  <c r="J4" i="1"/>
  <c r="M8" i="1"/>
  <c r="L8" i="1"/>
  <c r="I8" i="1"/>
  <c r="I10" i="1"/>
  <c r="M7" i="1"/>
  <c r="L7" i="1"/>
  <c r="I7" i="1"/>
  <c r="M6" i="1"/>
  <c r="L6" i="1"/>
  <c r="I6" i="1"/>
  <c r="I9" i="1"/>
  <c r="I5" i="1"/>
  <c r="I4" i="1"/>
  <c r="Q8" i="1" l="1"/>
  <c r="Q7" i="1"/>
</calcChain>
</file>

<file path=xl/sharedStrings.xml><?xml version="1.0" encoding="utf-8"?>
<sst xmlns="http://schemas.openxmlformats.org/spreadsheetml/2006/main" count="52" uniqueCount="51">
  <si>
    <t>Part Number</t>
  </si>
  <si>
    <t>Vds, max [V]</t>
  </si>
  <si>
    <t>Rth,JC [°C/W]</t>
  </si>
  <si>
    <t>Eoss @ Vds = 420V [uJ]</t>
  </si>
  <si>
    <t>Coss @ Vds = 420V [pF]</t>
  </si>
  <si>
    <t>Lmin [mm]</t>
  </si>
  <si>
    <t>Wmin [mm]</t>
  </si>
  <si>
    <t>Rds,on,max [Ω]</t>
  </si>
  <si>
    <t>T_j,max  [°C]</t>
  </si>
  <si>
    <t>t_r [ns]</t>
  </si>
  <si>
    <t>t_f [ns]</t>
  </si>
  <si>
    <t>MSC015SMA070S</t>
  </si>
  <si>
    <t>MSC035SMA070S</t>
  </si>
  <si>
    <t>Eon @ Vds = 420V [uJ]</t>
  </si>
  <si>
    <t>Eoff @ Vds = 420V [uJ]</t>
  </si>
  <si>
    <t>Etotal @ Vds = 420V [uJ]</t>
  </si>
  <si>
    <t>E4M0015075J2-TR</t>
  </si>
  <si>
    <t>SCT4013DLLTRDC</t>
  </si>
  <si>
    <t>SCT4013DW7TL</t>
  </si>
  <si>
    <t>AIMBG75R016M1HXTMA1</t>
  </si>
  <si>
    <t>Output Charge [nC]</t>
  </si>
  <si>
    <t>E4M0025075J2-TR</t>
  </si>
  <si>
    <t>Esw @ Id [A]; Vd [V]</t>
  </si>
  <si>
    <t>60; 500</t>
  </si>
  <si>
    <t>58; 420</t>
  </si>
  <si>
    <t>AIMBG75R020M1HXTMA1</t>
  </si>
  <si>
    <t>SCT4020DLLTRDC</t>
  </si>
  <si>
    <t>70; 420</t>
  </si>
  <si>
    <t>Microchip MSC015</t>
  </si>
  <si>
    <t>Microchip MSC035</t>
  </si>
  <si>
    <t>Wolfspeed E4M0015</t>
  </si>
  <si>
    <t>Rohm SCT4013DLL</t>
  </si>
  <si>
    <t>Rohm SCT4013DW</t>
  </si>
  <si>
    <t>Infineon 75R016</t>
  </si>
  <si>
    <t>Wolfspeed E4M0025</t>
  </si>
  <si>
    <t>Infineon 75R020</t>
  </si>
  <si>
    <t>Rohm SCT4020DLL</t>
  </si>
  <si>
    <t>Name</t>
  </si>
  <si>
    <t>Qg [nC]</t>
  </si>
  <si>
    <t>Vg [V]</t>
  </si>
  <si>
    <t>Q_gs2</t>
  </si>
  <si>
    <t>R_goff</t>
  </si>
  <si>
    <t>V_pl_q1</t>
  </si>
  <si>
    <t>V_th</t>
  </si>
  <si>
    <t>Q_gs(th)</t>
  </si>
  <si>
    <t>R_g (test)</t>
  </si>
  <si>
    <t>I_gc_cf_off</t>
  </si>
  <si>
    <t>R_g(int)</t>
  </si>
  <si>
    <t>Q_gs</t>
  </si>
  <si>
    <t>larger than t_f provided in the datasheet</t>
  </si>
  <si>
    <t>t_f provided in the datasheet sincce not enough data is given to do the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</si>
</sst>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0" fontId="2" fillId="0" borderId="0" xfId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infineon-technologies/AIMBG75R020M1HXTMA1/23018572" TargetMode="External"/><Relationship Id="rId3" Type="http://schemas.openxmlformats.org/officeDocument/2006/relationships/hyperlink" Target="https://www.digikey.com/en/products/detail/rohm-semiconductor/SCT4013DLLTRDC/27683810" TargetMode="External"/><Relationship Id="rId7" Type="http://schemas.openxmlformats.org/officeDocument/2006/relationships/hyperlink" Target="https://www.digikey.com/en/products/detail/wolfspeed-inc/E4M0025075J2-TR/22571429" TargetMode="External"/><Relationship Id="rId2" Type="http://schemas.openxmlformats.org/officeDocument/2006/relationships/hyperlink" Target="https://www.digikey.com/en/products/detail/wolfspeed-inc/E4M0015075J2-TR/22571445" TargetMode="External"/><Relationship Id="rId1" Type="http://schemas.openxmlformats.org/officeDocument/2006/relationships/hyperlink" Target="https://www.digikey.com/en/products/detail/microchip-technology/MSC035SMA070S/7804123" TargetMode="External"/><Relationship Id="rId6" Type="http://schemas.openxmlformats.org/officeDocument/2006/relationships/hyperlink" Target="https://www.digikey.com/en/products/detail/infineon-technologies/AIMBG75R016M1HXTMA1/21675776" TargetMode="External"/><Relationship Id="rId5" Type="http://schemas.openxmlformats.org/officeDocument/2006/relationships/hyperlink" Target="https://www.digikey.com/en/products/detail/rohm-semiconductor/SCT4013DW7TL/16808187" TargetMode="External"/><Relationship Id="rId4" Type="http://schemas.openxmlformats.org/officeDocument/2006/relationships/hyperlink" Target="https://www.microchip.com/product-change-notifications/" TargetMode="External"/><Relationship Id="rId9" Type="http://schemas.openxmlformats.org/officeDocument/2006/relationships/hyperlink" Target="https://www.digikey.com/en/products/detail/rohm-semiconductor/SCT4020DLLTRDC/27683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topLeftCell="K1" zoomScale="75" zoomScaleNormal="140" workbookViewId="0">
      <selection activeCell="B6" sqref="B6"/>
    </sheetView>
  </sheetViews>
  <sheetFormatPr defaultRowHeight="14.5" x14ac:dyDescent="0.35"/>
  <cols>
    <col min="1" max="1" width="12.54296875" customWidth="1"/>
    <col min="2" max="2" width="11.90625" customWidth="1"/>
    <col min="3" max="3" width="12.90625" customWidth="1"/>
    <col min="4" max="4" width="12.7265625" customWidth="1"/>
    <col min="5" max="5" width="20.453125" customWidth="1"/>
    <col min="6" max="6" width="18.90625" customWidth="1"/>
    <col min="7" max="7" width="21" customWidth="1"/>
    <col min="8" max="8" width="25.36328125" customWidth="1"/>
    <col min="9" max="9" width="24.1796875" customWidth="1"/>
    <col min="10" max="10" width="20.6328125" customWidth="1"/>
    <col min="11" max="11" width="21.54296875" customWidth="1"/>
    <col min="12" max="12" width="11.6328125" customWidth="1"/>
    <col min="13" max="13" width="13.08984375" customWidth="1"/>
    <col min="14" max="14" width="13.81640625" customWidth="1"/>
    <col min="15" max="15" width="12.08984375" customWidth="1"/>
    <col min="18" max="24" width="8.7265625" style="2"/>
    <col min="26" max="27" width="8.7265625" style="2"/>
    <col min="28" max="28" width="11" style="2" customWidth="1"/>
  </cols>
  <sheetData>
    <row r="1" spans="1:28" x14ac:dyDescent="0.35">
      <c r="A1" s="3" t="s">
        <v>37</v>
      </c>
      <c r="B1" s="3" t="s">
        <v>0</v>
      </c>
      <c r="C1" s="3" t="s">
        <v>1</v>
      </c>
      <c r="D1" s="3" t="s">
        <v>2</v>
      </c>
      <c r="E1" s="3" t="s">
        <v>20</v>
      </c>
      <c r="F1" s="3" t="s">
        <v>22</v>
      </c>
      <c r="G1" s="3" t="s">
        <v>13</v>
      </c>
      <c r="H1" s="3" t="s">
        <v>14</v>
      </c>
      <c r="I1" s="3" t="s">
        <v>15</v>
      </c>
      <c r="J1" s="3" t="s">
        <v>3</v>
      </c>
      <c r="K1" s="3" t="s">
        <v>4</v>
      </c>
      <c r="L1" s="5" t="s">
        <v>5</v>
      </c>
      <c r="M1" s="3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38</v>
      </c>
      <c r="S1" s="1" t="s">
        <v>39</v>
      </c>
      <c r="T1" s="13" t="s">
        <v>44</v>
      </c>
      <c r="U1" s="13" t="s">
        <v>48</v>
      </c>
      <c r="V1" s="13" t="s">
        <v>40</v>
      </c>
      <c r="W1" s="13" t="s">
        <v>42</v>
      </c>
      <c r="X1" s="13" t="s">
        <v>43</v>
      </c>
      <c r="Y1" s="13" t="s">
        <v>41</v>
      </c>
      <c r="Z1" s="13" t="s">
        <v>47</v>
      </c>
      <c r="AA1" s="13" t="s">
        <v>45</v>
      </c>
      <c r="AB1" s="13" t="s">
        <v>46</v>
      </c>
    </row>
    <row r="2" spans="1:28" ht="29" x14ac:dyDescent="0.35">
      <c r="A2" s="12" t="s">
        <v>33</v>
      </c>
      <c r="B2" s="7" t="s">
        <v>19</v>
      </c>
      <c r="C2" s="4">
        <v>750</v>
      </c>
      <c r="D2" s="4">
        <v>0.39</v>
      </c>
      <c r="E2" s="4">
        <v>147</v>
      </c>
      <c r="F2" s="4"/>
      <c r="G2" s="4"/>
      <c r="H2" s="4"/>
      <c r="I2" s="4"/>
      <c r="J2" s="4">
        <v>22</v>
      </c>
      <c r="K2" s="4">
        <v>190</v>
      </c>
      <c r="L2" s="4">
        <v>9.8000000000000007</v>
      </c>
      <c r="M2" s="4">
        <v>9.0500000000000007</v>
      </c>
      <c r="N2" s="10">
        <v>2.9100000000000001E-2</v>
      </c>
      <c r="O2" s="2">
        <v>175</v>
      </c>
      <c r="P2" s="6">
        <v>18</v>
      </c>
      <c r="Q2" s="6">
        <f>V2/AB2</f>
        <v>9.2159999999999993</v>
      </c>
      <c r="R2" s="2">
        <v>81</v>
      </c>
      <c r="S2" s="2">
        <v>18</v>
      </c>
      <c r="T2" s="2">
        <v>12</v>
      </c>
      <c r="U2" s="2">
        <v>24</v>
      </c>
      <c r="V2" s="2">
        <f t="shared" ref="V2:V10" si="0">U2-T2</f>
        <v>12</v>
      </c>
      <c r="W2" s="2">
        <v>8.1999999999999993</v>
      </c>
      <c r="X2" s="2">
        <v>4.3</v>
      </c>
      <c r="Y2" s="2">
        <f>Z2+AA2</f>
        <v>4.8</v>
      </c>
      <c r="Z2" s="2">
        <v>3</v>
      </c>
      <c r="AA2" s="2">
        <v>1.8</v>
      </c>
      <c r="AB2" s="2">
        <f>(W2+X2)/(2*Y2)</f>
        <v>1.3020833333333335</v>
      </c>
    </row>
    <row r="3" spans="1:28" ht="29" x14ac:dyDescent="0.35">
      <c r="A3" s="12" t="s">
        <v>35</v>
      </c>
      <c r="B3" s="7" t="s">
        <v>25</v>
      </c>
      <c r="C3" s="4">
        <v>750</v>
      </c>
      <c r="D3" s="4">
        <v>0.46</v>
      </c>
      <c r="E3" s="4">
        <v>127</v>
      </c>
      <c r="F3" s="4"/>
      <c r="G3" s="4"/>
      <c r="H3" s="4"/>
      <c r="I3" s="4"/>
      <c r="J3" s="4">
        <v>19</v>
      </c>
      <c r="K3" s="4">
        <v>180</v>
      </c>
      <c r="L3" s="4">
        <v>9.8000000000000007</v>
      </c>
      <c r="M3" s="4">
        <v>9.0500000000000007</v>
      </c>
      <c r="N3" s="10">
        <v>3.5999999999999997E-2</v>
      </c>
      <c r="O3" s="2">
        <v>175</v>
      </c>
      <c r="P3" s="6">
        <v>15</v>
      </c>
      <c r="Q3" s="6">
        <f t="shared" ref="Q3:Q10" si="1">V3/AB3</f>
        <v>6.911999999999999</v>
      </c>
      <c r="R3" s="2">
        <v>70</v>
      </c>
      <c r="S3" s="2">
        <v>18</v>
      </c>
      <c r="T3" s="2">
        <v>10</v>
      </c>
      <c r="U3" s="2">
        <v>19</v>
      </c>
      <c r="V3" s="2">
        <f t="shared" si="0"/>
        <v>9</v>
      </c>
      <c r="W3" s="2">
        <v>8.1999999999999993</v>
      </c>
      <c r="X3" s="2">
        <v>4.3</v>
      </c>
      <c r="Y3" s="2">
        <f>Z3+AA3</f>
        <v>4.8</v>
      </c>
      <c r="Z3" s="2">
        <v>3</v>
      </c>
      <c r="AA3" s="2">
        <v>1.8</v>
      </c>
      <c r="AB3" s="2">
        <f>(W3+X3)/(2*Y3)</f>
        <v>1.3020833333333335</v>
      </c>
    </row>
    <row r="4" spans="1:28" ht="29" x14ac:dyDescent="0.35">
      <c r="A4" s="12" t="s">
        <v>28</v>
      </c>
      <c r="B4" s="8" t="s">
        <v>11</v>
      </c>
      <c r="C4" s="4">
        <v>700</v>
      </c>
      <c r="D4" s="4">
        <v>0.31</v>
      </c>
      <c r="E4" s="4">
        <v>350</v>
      </c>
      <c r="F4" s="4" t="s">
        <v>27</v>
      </c>
      <c r="G4" s="4">
        <v>950</v>
      </c>
      <c r="H4" s="4">
        <v>125</v>
      </c>
      <c r="I4" s="4">
        <f t="shared" ref="I4:I10" si="2">G4+H4</f>
        <v>1075</v>
      </c>
      <c r="J4" s="4">
        <f>0.5*(E4*(0.001))*420</f>
        <v>73.5</v>
      </c>
      <c r="K4" s="4">
        <v>506</v>
      </c>
      <c r="L4" s="4">
        <v>15.85</v>
      </c>
      <c r="M4" s="9">
        <v>13.79</v>
      </c>
      <c r="N4" s="2">
        <v>2.2100000000000002E-2</v>
      </c>
      <c r="O4" s="2">
        <v>175</v>
      </c>
      <c r="P4" s="6">
        <v>34</v>
      </c>
      <c r="Q4" s="14">
        <v>20</v>
      </c>
      <c r="R4" s="2">
        <v>215</v>
      </c>
      <c r="S4" s="2">
        <v>20</v>
      </c>
      <c r="T4" s="2">
        <v>45</v>
      </c>
      <c r="U4" s="2">
        <v>58</v>
      </c>
      <c r="V4" s="2">
        <f t="shared" si="0"/>
        <v>13</v>
      </c>
      <c r="W4" s="2">
        <v>6.25</v>
      </c>
      <c r="X4" s="2">
        <v>3</v>
      </c>
      <c r="Y4" s="2">
        <f t="shared" ref="Y4:Y10" si="3">Z4+AA4</f>
        <v>4</v>
      </c>
      <c r="AA4" s="2">
        <v>4</v>
      </c>
      <c r="AB4" s="2">
        <f t="shared" ref="AB4:AB10" si="4">(W4+X4)/(2*Y4)</f>
        <v>1.15625</v>
      </c>
    </row>
    <row r="5" spans="1:28" ht="29" x14ac:dyDescent="0.35">
      <c r="A5" s="12" t="s">
        <v>29</v>
      </c>
      <c r="B5" s="7" t="s">
        <v>12</v>
      </c>
      <c r="C5" s="4">
        <v>700</v>
      </c>
      <c r="D5" s="4">
        <v>0.54</v>
      </c>
      <c r="E5" s="4">
        <v>140</v>
      </c>
      <c r="F5" s="4">
        <v>60</v>
      </c>
      <c r="G5" s="4">
        <v>850</v>
      </c>
      <c r="H5" s="4">
        <v>65</v>
      </c>
      <c r="I5" s="4">
        <f t="shared" si="2"/>
        <v>915</v>
      </c>
      <c r="J5" s="4">
        <v>22</v>
      </c>
      <c r="K5" s="4">
        <v>220</v>
      </c>
      <c r="L5" s="4">
        <v>15.85</v>
      </c>
      <c r="M5" s="9">
        <v>13.79</v>
      </c>
      <c r="N5" s="2">
        <v>4.5499999999999999E-2</v>
      </c>
      <c r="O5" s="2">
        <v>175</v>
      </c>
      <c r="P5" s="6">
        <v>9</v>
      </c>
      <c r="Q5" s="14">
        <v>18</v>
      </c>
      <c r="R5" s="2">
        <v>93</v>
      </c>
      <c r="S5" s="2">
        <v>20</v>
      </c>
      <c r="T5" s="2">
        <v>18</v>
      </c>
      <c r="U5" s="2">
        <v>25</v>
      </c>
      <c r="V5" s="2">
        <f t="shared" si="0"/>
        <v>7</v>
      </c>
      <c r="W5" s="2">
        <v>6</v>
      </c>
      <c r="X5" s="2">
        <v>3</v>
      </c>
      <c r="Y5" s="2">
        <f t="shared" si="3"/>
        <v>4</v>
      </c>
      <c r="AA5" s="2">
        <v>4</v>
      </c>
      <c r="AB5" s="2">
        <f t="shared" si="4"/>
        <v>1.125</v>
      </c>
    </row>
    <row r="6" spans="1:28" ht="29" x14ac:dyDescent="0.35">
      <c r="A6" s="12" t="s">
        <v>31</v>
      </c>
      <c r="B6" s="7" t="s">
        <v>17</v>
      </c>
      <c r="C6" s="4">
        <v>750</v>
      </c>
      <c r="D6" s="4">
        <v>0.37</v>
      </c>
      <c r="E6" s="4"/>
      <c r="F6" s="4">
        <v>58</v>
      </c>
      <c r="G6" s="4">
        <v>360</v>
      </c>
      <c r="H6" s="4">
        <v>280</v>
      </c>
      <c r="I6" s="4">
        <f t="shared" si="2"/>
        <v>640</v>
      </c>
      <c r="J6" s="4">
        <v>25</v>
      </c>
      <c r="K6" s="4">
        <v>203</v>
      </c>
      <c r="L6" s="4">
        <f>10.43-0.15</f>
        <v>10.28</v>
      </c>
      <c r="M6" s="4">
        <f>9.8-0.1</f>
        <v>9.7000000000000011</v>
      </c>
      <c r="N6" s="10">
        <v>2.8000000000000001E-2</v>
      </c>
      <c r="O6" s="2">
        <v>175</v>
      </c>
      <c r="P6" s="6">
        <v>32</v>
      </c>
      <c r="Q6" s="15">
        <f t="shared" si="1"/>
        <v>25.999999999999996</v>
      </c>
      <c r="R6" s="2">
        <v>170</v>
      </c>
      <c r="S6" s="2">
        <v>18</v>
      </c>
      <c r="T6" s="2">
        <v>21</v>
      </c>
      <c r="U6" s="2">
        <v>39</v>
      </c>
      <c r="V6" s="2">
        <f t="shared" si="0"/>
        <v>18</v>
      </c>
      <c r="W6" s="2">
        <v>7</v>
      </c>
      <c r="X6" s="18">
        <v>3.8</v>
      </c>
      <c r="Y6" s="2">
        <f t="shared" si="3"/>
        <v>7.8</v>
      </c>
      <c r="Z6" s="2">
        <v>1</v>
      </c>
      <c r="AA6" s="2">
        <v>6.8</v>
      </c>
      <c r="AB6" s="2">
        <f t="shared" si="4"/>
        <v>0.6923076923076924</v>
      </c>
    </row>
    <row r="7" spans="1:28" ht="29" x14ac:dyDescent="0.35">
      <c r="A7" s="12" t="s">
        <v>32</v>
      </c>
      <c r="B7" s="7" t="s">
        <v>18</v>
      </c>
      <c r="C7" s="4">
        <v>750</v>
      </c>
      <c r="D7" s="4">
        <v>0.56000000000000005</v>
      </c>
      <c r="E7" s="4"/>
      <c r="F7" s="4" t="s">
        <v>24</v>
      </c>
      <c r="G7" s="4">
        <v>360</v>
      </c>
      <c r="H7" s="4">
        <v>280</v>
      </c>
      <c r="I7" s="4">
        <f t="shared" si="2"/>
        <v>640</v>
      </c>
      <c r="J7" s="4">
        <v>25</v>
      </c>
      <c r="K7" s="4">
        <v>203</v>
      </c>
      <c r="L7" s="4">
        <f>10.2-0.3</f>
        <v>9.8999999999999986</v>
      </c>
      <c r="M7" s="4">
        <f>9.1-0.2</f>
        <v>8.9</v>
      </c>
      <c r="N7" s="10">
        <v>2.5999999999999999E-2</v>
      </c>
      <c r="O7" s="2">
        <v>175</v>
      </c>
      <c r="P7" s="6">
        <v>32</v>
      </c>
      <c r="Q7" s="15">
        <f t="shared" si="1"/>
        <v>25.999999999999996</v>
      </c>
      <c r="R7" s="2">
        <v>170</v>
      </c>
      <c r="S7" s="2">
        <v>18</v>
      </c>
      <c r="T7" s="2">
        <v>21</v>
      </c>
      <c r="U7" s="2">
        <v>39</v>
      </c>
      <c r="V7" s="2">
        <f t="shared" si="0"/>
        <v>18</v>
      </c>
      <c r="W7" s="2">
        <v>7</v>
      </c>
      <c r="X7" s="18">
        <v>3.8</v>
      </c>
      <c r="Y7" s="2">
        <f t="shared" si="3"/>
        <v>7.8</v>
      </c>
      <c r="Z7" s="2">
        <v>1</v>
      </c>
      <c r="AA7" s="2">
        <v>6.8</v>
      </c>
      <c r="AB7" s="2">
        <f t="shared" si="4"/>
        <v>0.6923076923076924</v>
      </c>
    </row>
    <row r="8" spans="1:28" ht="29" x14ac:dyDescent="0.35">
      <c r="A8" s="12" t="s">
        <v>36</v>
      </c>
      <c r="B8" s="11" t="s">
        <v>26</v>
      </c>
      <c r="C8" s="4">
        <v>750</v>
      </c>
      <c r="D8" s="4">
        <v>0.54</v>
      </c>
      <c r="E8" s="2"/>
      <c r="F8" s="2" t="s">
        <v>23</v>
      </c>
      <c r="G8" s="2">
        <v>790</v>
      </c>
      <c r="H8" s="2">
        <v>180</v>
      </c>
      <c r="I8" s="2">
        <f t="shared" si="2"/>
        <v>970</v>
      </c>
      <c r="J8" s="4">
        <v>19</v>
      </c>
      <c r="K8" s="4">
        <v>170</v>
      </c>
      <c r="L8" s="2">
        <f>10.43-0.15</f>
        <v>10.28</v>
      </c>
      <c r="M8" s="2">
        <f>9.8-0.1</f>
        <v>9.7000000000000011</v>
      </c>
      <c r="N8" s="10">
        <v>4.4999999999999998E-2</v>
      </c>
      <c r="O8" s="2">
        <v>175</v>
      </c>
      <c r="P8" s="6">
        <v>26</v>
      </c>
      <c r="Q8" s="15">
        <f t="shared" si="1"/>
        <v>19.854545454545452</v>
      </c>
      <c r="R8" s="2">
        <v>123</v>
      </c>
      <c r="S8" s="2">
        <v>18</v>
      </c>
      <c r="T8" s="2">
        <v>15</v>
      </c>
      <c r="U8" s="2">
        <v>29</v>
      </c>
      <c r="V8" s="2">
        <f t="shared" si="0"/>
        <v>14</v>
      </c>
      <c r="W8" s="2">
        <v>7.2</v>
      </c>
      <c r="X8" s="18">
        <v>3.8</v>
      </c>
      <c r="Y8" s="2">
        <f t="shared" si="3"/>
        <v>7.8</v>
      </c>
      <c r="Z8" s="2">
        <v>1</v>
      </c>
      <c r="AA8" s="2">
        <v>6.8</v>
      </c>
      <c r="AB8" s="2">
        <f t="shared" si="4"/>
        <v>0.70512820512820518</v>
      </c>
    </row>
    <row r="9" spans="1:28" ht="29" x14ac:dyDescent="0.35">
      <c r="A9" s="12" t="s">
        <v>30</v>
      </c>
      <c r="B9" s="7" t="s">
        <v>16</v>
      </c>
      <c r="C9" s="4">
        <v>750</v>
      </c>
      <c r="D9" s="4">
        <v>0.34</v>
      </c>
      <c r="E9" s="4"/>
      <c r="F9" s="4">
        <v>60</v>
      </c>
      <c r="G9" s="4">
        <v>280</v>
      </c>
      <c r="H9" s="4">
        <v>100</v>
      </c>
      <c r="I9" s="4">
        <f t="shared" si="2"/>
        <v>380</v>
      </c>
      <c r="J9" s="4">
        <v>32</v>
      </c>
      <c r="K9" s="4">
        <v>255</v>
      </c>
      <c r="L9" s="9">
        <v>9.8000000000000007</v>
      </c>
      <c r="M9" s="4">
        <v>9.0500000000000007</v>
      </c>
      <c r="N9" s="10">
        <v>2.1999999999999999E-2</v>
      </c>
      <c r="O9" s="2">
        <v>175</v>
      </c>
      <c r="P9" s="6">
        <v>22</v>
      </c>
      <c r="Q9" s="15">
        <f t="shared" si="1"/>
        <v>18.172839506172838</v>
      </c>
      <c r="R9" s="2">
        <v>180</v>
      </c>
      <c r="S9" s="2">
        <v>15</v>
      </c>
      <c r="T9" s="2">
        <v>33</v>
      </c>
      <c r="U9" s="2">
        <v>49</v>
      </c>
      <c r="V9" s="2">
        <f t="shared" si="0"/>
        <v>16</v>
      </c>
      <c r="W9" s="2">
        <v>5.5</v>
      </c>
      <c r="X9" s="2">
        <v>2.6</v>
      </c>
      <c r="Y9" s="2">
        <f t="shared" si="3"/>
        <v>4.5999999999999996</v>
      </c>
      <c r="Z9" s="2">
        <v>2.1</v>
      </c>
      <c r="AA9" s="2">
        <v>2.5</v>
      </c>
      <c r="AB9" s="2">
        <f t="shared" si="4"/>
        <v>0.88043478260869568</v>
      </c>
    </row>
    <row r="10" spans="1:28" s="2" customFormat="1" ht="29" x14ac:dyDescent="0.35">
      <c r="A10" s="12" t="s">
        <v>34</v>
      </c>
      <c r="B10" s="7" t="s">
        <v>21</v>
      </c>
      <c r="C10" s="4">
        <v>750</v>
      </c>
      <c r="D10" s="4">
        <v>0.53</v>
      </c>
      <c r="E10" s="4"/>
      <c r="F10" s="4" t="s">
        <v>23</v>
      </c>
      <c r="G10" s="4">
        <v>220</v>
      </c>
      <c r="H10" s="4">
        <v>140</v>
      </c>
      <c r="I10" s="4">
        <f t="shared" si="2"/>
        <v>360</v>
      </c>
      <c r="J10" s="4">
        <v>18</v>
      </c>
      <c r="K10" s="4">
        <v>158</v>
      </c>
      <c r="L10" s="4">
        <v>9.8000000000000007</v>
      </c>
      <c r="M10" s="4">
        <v>9.0500000000000007</v>
      </c>
      <c r="N10" s="10">
        <v>3.5000000000000003E-2</v>
      </c>
      <c r="O10" s="2">
        <v>175</v>
      </c>
      <c r="P10" s="6">
        <v>19</v>
      </c>
      <c r="Q10" s="15">
        <f t="shared" si="1"/>
        <v>12.558139534883722</v>
      </c>
      <c r="R10" s="2">
        <v>114</v>
      </c>
      <c r="S10" s="2">
        <v>15</v>
      </c>
      <c r="T10" s="2">
        <v>22</v>
      </c>
      <c r="U10" s="2">
        <v>34</v>
      </c>
      <c r="V10" s="2">
        <f t="shared" si="0"/>
        <v>12</v>
      </c>
      <c r="W10" s="2">
        <v>6</v>
      </c>
      <c r="X10" s="2">
        <v>2.6</v>
      </c>
      <c r="Y10" s="2">
        <f t="shared" si="3"/>
        <v>4.5</v>
      </c>
      <c r="Z10" s="2">
        <v>2</v>
      </c>
      <c r="AA10" s="2">
        <v>2.5</v>
      </c>
      <c r="AB10" s="2">
        <f t="shared" si="4"/>
        <v>0.95555555555555549</v>
      </c>
    </row>
    <row r="11" spans="1:28" x14ac:dyDescent="0.35">
      <c r="A11" s="4"/>
      <c r="B11" s="11"/>
    </row>
    <row r="14" spans="1:28" x14ac:dyDescent="0.35">
      <c r="Q14" s="16"/>
      <c r="R14" s="17" t="s">
        <v>49</v>
      </c>
    </row>
    <row r="15" spans="1:28" x14ac:dyDescent="0.35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6"/>
      <c r="Q15" s="14"/>
      <c r="R15" s="17" t="s">
        <v>50</v>
      </c>
    </row>
  </sheetData>
  <sortState xmlns:xlrd2="http://schemas.microsoft.com/office/spreadsheetml/2017/richdata2" ref="A2:Q10">
    <sortCondition ref="A1:A10"/>
  </sortState>
  <hyperlinks>
    <hyperlink ref="B5" r:id="rId1" display="GS66516BMRXUSA1" xr:uid="{DD679AF5-F164-4D85-AB75-6A325B78E768}"/>
    <hyperlink ref="B9" r:id="rId2" xr:uid="{BA0AED9B-6AA4-4FC6-8A64-3CA2DE014AD8}"/>
    <hyperlink ref="B6" r:id="rId3" xr:uid="{96BEC7D9-FDCF-405C-9D88-9ACE5DA1EA51}"/>
    <hyperlink ref="B4" r:id="rId4" location="/20201/SYST-18KDGN688" xr:uid="{5EFDBEAE-465D-4DC4-A7DF-3741F679DCB3}"/>
    <hyperlink ref="B7" r:id="rId5" xr:uid="{074BB4EC-267C-419D-B225-BC81C90D2C1C}"/>
    <hyperlink ref="B2" r:id="rId6" xr:uid="{EF1B55FD-06BF-4ACC-9C57-E818E6265995}"/>
    <hyperlink ref="B10" r:id="rId7" xr:uid="{3B73B61B-6C23-45C2-B20E-163D09BF1222}"/>
    <hyperlink ref="B3" r:id="rId8" xr:uid="{9186E9C7-930B-4A0E-8253-768CD9CBFEE5}"/>
    <hyperlink ref="B8" r:id="rId9" xr:uid="{9D867760-9D27-4879-A793-BF603895DC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2026-03-06T19:26:02Z</dcterms:modified>
</cp:coreProperties>
</file>