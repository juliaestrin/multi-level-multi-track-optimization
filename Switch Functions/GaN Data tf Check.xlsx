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E550834A-1C62-41E9-B5F0-1C6B4ADAB3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M14" i="1"/>
  <c r="X14" i="1"/>
  <c r="U14" i="1"/>
  <c r="J14" i="1"/>
  <c r="R13" i="1"/>
  <c r="M13" i="1"/>
  <c r="X13" i="1"/>
  <c r="U13" i="1"/>
  <c r="J13" i="1"/>
  <c r="Y12" i="1"/>
  <c r="R12" i="1"/>
  <c r="M12" i="1" s="1"/>
  <c r="X12" i="1"/>
  <c r="U12" i="1"/>
  <c r="J12" i="1"/>
  <c r="Y11" i="1"/>
  <c r="R11" i="1"/>
  <c r="M11" i="1" s="1"/>
  <c r="X11" i="1"/>
  <c r="U11" i="1"/>
  <c r="J11" i="1"/>
  <c r="Y10" i="1"/>
  <c r="Y9" i="1"/>
  <c r="Y8" i="1"/>
  <c r="Y7" i="1"/>
  <c r="Y6" i="1"/>
  <c r="Y5" i="1"/>
  <c r="Y4" i="1"/>
  <c r="R10" i="1"/>
  <c r="U10" i="1"/>
  <c r="X10" i="1" s="1"/>
  <c r="R9" i="1"/>
  <c r="U9" i="1"/>
  <c r="X9" i="1" s="1"/>
  <c r="R8" i="1"/>
  <c r="U8" i="1"/>
  <c r="X8" i="1" s="1"/>
  <c r="R7" i="1"/>
  <c r="U7" i="1"/>
  <c r="X7" i="1" s="1"/>
  <c r="M7" i="1" s="1"/>
  <c r="M8" i="1" l="1"/>
  <c r="M10" i="1"/>
  <c r="M9" i="1"/>
  <c r="U6" i="1"/>
  <c r="X6" i="1" s="1"/>
  <c r="R6" i="1"/>
  <c r="R5" i="1"/>
  <c r="U5" i="1"/>
  <c r="X5" i="1" s="1"/>
  <c r="M5" i="1" s="1"/>
  <c r="R4" i="1"/>
  <c r="U4" i="1"/>
  <c r="X4" i="1" s="1"/>
  <c r="M4" i="1" s="1"/>
  <c r="R3" i="1"/>
  <c r="U3" i="1"/>
  <c r="X3" i="1" s="1"/>
  <c r="R2" i="1"/>
  <c r="U2" i="1"/>
  <c r="X2" i="1" s="1"/>
  <c r="M6" i="1" l="1"/>
  <c r="M2" i="1"/>
  <c r="M3" i="1"/>
</calcChain>
</file>

<file path=xl/sharedStrings.xml><?xml version="1.0" encoding="utf-8"?>
<sst xmlns="http://schemas.openxmlformats.org/spreadsheetml/2006/main" count="64" uniqueCount="53">
  <si>
    <t>Part Number</t>
  </si>
  <si>
    <t>Vds, max [V]</t>
  </si>
  <si>
    <t>Rth,JC [°C/W]</t>
  </si>
  <si>
    <t>Eoss @ Vds = 420V [uJ]</t>
  </si>
  <si>
    <t>Coss @ Vds = 420V [pF]</t>
  </si>
  <si>
    <t>Lmin [mm]</t>
  </si>
  <si>
    <t>Wmin [mm]</t>
  </si>
  <si>
    <t>IGT65R025D2ATMA1</t>
  </si>
  <si>
    <t>GS66516BMRXUSA1</t>
  </si>
  <si>
    <t>GAN039-650NBBHP</t>
  </si>
  <si>
    <t>TP65H030G4PQS-TR</t>
  </si>
  <si>
    <t>TP65H035G4QS</t>
  </si>
  <si>
    <t>GS0650306LRMRXUSA1</t>
  </si>
  <si>
    <t>Rds,on,max [Ω]</t>
  </si>
  <si>
    <t>T_j,max  [°C]</t>
  </si>
  <si>
    <t>t_r [ns]</t>
  </si>
  <si>
    <t>t_f [ns]</t>
  </si>
  <si>
    <t>Name</t>
  </si>
  <si>
    <t>Nexperia GAN039</t>
  </si>
  <si>
    <t>Infineon IGT65R025</t>
  </si>
  <si>
    <t>Renesas 035G4QS</t>
  </si>
  <si>
    <t>Renesas 030G4PQS</t>
  </si>
  <si>
    <t>GaN Systems GS665</t>
  </si>
  <si>
    <t>GaN Systems GSO65-LR</t>
  </si>
  <si>
    <t>Qg [nC]</t>
  </si>
  <si>
    <t>Vgs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</si>
  <si>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</si>
  <si>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</si>
  <si>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</si>
  <si>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</si>
  <si>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</si>
  <si>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</si>
  <si>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</si>
  <si>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</si>
  <si>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</si>
  <si>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Cooling Side</t>
  </si>
  <si>
    <t>Bottom</t>
  </si>
  <si>
    <t>GNP2025TD-ZTR</t>
  </si>
  <si>
    <t>Rohm GNP2025TD</t>
  </si>
  <si>
    <t>GAN039-650NTBJ</t>
  </si>
  <si>
    <t>Nexperia GAN039T</t>
  </si>
  <si>
    <t>Top</t>
  </si>
  <si>
    <t>TP65H030G4PRS-TR</t>
  </si>
  <si>
    <t>Renesas 030G4PRS</t>
  </si>
  <si>
    <t>Pin_Area</t>
  </si>
  <si>
    <t>TP65H050G4QS-TR</t>
  </si>
  <si>
    <t>Renesas 050G4QS</t>
  </si>
  <si>
    <t>Renesas 050G4BS</t>
  </si>
  <si>
    <t>TP65H050G4BS</t>
  </si>
  <si>
    <t>SGT070R70HTO</t>
  </si>
  <si>
    <t>STMicro SGT070</t>
  </si>
  <si>
    <t>GNP2050TD-ZTR</t>
  </si>
  <si>
    <t>Rohm GNP2050TD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</si>
</sst>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nexperia-usa-inc/GAN039-650NTBJ/24716796" TargetMode="External"/><Relationship Id="rId13" Type="http://schemas.openxmlformats.org/officeDocument/2006/relationships/hyperlink" Target="https://www.digikey.com/en/products/detail/rohm-semiconductor/GNP2050TD-ZTR/28539973" TargetMode="External"/><Relationship Id="rId3" Type="http://schemas.openxmlformats.org/officeDocument/2006/relationships/hyperlink" Target="https://www.digikey.com/en/products/detail/nexperia-usa-inc/GAN039-650NBBHP/22050104" TargetMode="External"/><Relationship Id="rId7" Type="http://schemas.openxmlformats.org/officeDocument/2006/relationships/hyperlink" Target="https://www.digikey.com/en/products/detail/rohm-semiconductor/GNP2025TD-ZTR/28539963" TargetMode="External"/><Relationship Id="rId12" Type="http://schemas.openxmlformats.org/officeDocument/2006/relationships/hyperlink" Target="https://www.digikey.com/en/products/detail/stmicroelectronics/SGT070R70HTO/28002670" TargetMode="External"/><Relationship Id="rId2" Type="http://schemas.openxmlformats.org/officeDocument/2006/relationships/hyperlink" Target="https://www.digikey.com/en/products/detail/infineon-technologies/GS66516BMRXUSA1/23023338" TargetMode="External"/><Relationship Id="rId1" Type="http://schemas.openxmlformats.org/officeDocument/2006/relationships/hyperlink" Target="https://www.digikey.com/en/products/detail/infineon-technologies/IGT65R025D2ATMA1/25880142" TargetMode="External"/><Relationship Id="rId6" Type="http://schemas.openxmlformats.org/officeDocument/2006/relationships/hyperlink" Target="https://www.digikey.com/en/products/detail/infineon-technologies/GS0650306LRMRXUSA1/23023357" TargetMode="External"/><Relationship Id="rId11" Type="http://schemas.openxmlformats.org/officeDocument/2006/relationships/hyperlink" Target="https://www.digikey.com/en/products/detail/renesas-electronics-corporation/TP65H050G4BS/16568993" TargetMode="External"/><Relationship Id="rId5" Type="http://schemas.openxmlformats.org/officeDocument/2006/relationships/hyperlink" Target="https://www.digikey.com/en/products/detail/renesas-electronics-corporation/TP65H035G4QS/22041546" TargetMode="External"/><Relationship Id="rId10" Type="http://schemas.openxmlformats.org/officeDocument/2006/relationships/hyperlink" Target="https://www.digikey.com/en/products/detail/renesas-electronics-corporation/TP65H050G4QS-TR/22189146" TargetMode="External"/><Relationship Id="rId4" Type="http://schemas.openxmlformats.org/officeDocument/2006/relationships/hyperlink" Target="https://www.digikey.com/en/products/detail/renesas-electronics-corporation/TP65H030G4PQS-TR/26692868" TargetMode="External"/><Relationship Id="rId9" Type="http://schemas.openxmlformats.org/officeDocument/2006/relationships/hyperlink" Target="https://www.digikey.com/en/products/detail/renesas-electronics-corporation/TP65H030G4PRS-TR/26692870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topLeftCell="G1" zoomScale="76" zoomScaleNormal="140" workbookViewId="0">
      <selection activeCell="Z3" sqref="Z3"/>
    </sheetView>
  </sheetViews>
  <sheetFormatPr defaultRowHeight="14.5" x14ac:dyDescent="0.35"/>
  <cols>
    <col min="1" max="1" width="14.26953125" customWidth="1"/>
    <col min="2" max="2" width="11.90625" customWidth="1"/>
    <col min="3" max="3" width="12.90625" customWidth="1"/>
    <col min="4" max="4" width="12.7265625" customWidth="1"/>
    <col min="5" max="5" width="20.81640625" customWidth="1"/>
    <col min="6" max="6" width="20.6328125" customWidth="1"/>
    <col min="7" max="7" width="21.5429687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4" width="9.90625" customWidth="1"/>
    <col min="15" max="15" width="8.7265625" style="2"/>
    <col min="17" max="18" width="8.7265625" style="2"/>
    <col min="20" max="20" width="8.7265625" style="2"/>
    <col min="22" max="25" width="8.7265625" style="2"/>
  </cols>
  <sheetData>
    <row r="1" spans="1:25" x14ac:dyDescent="0.35">
      <c r="A1" s="3" t="s">
        <v>17</v>
      </c>
      <c r="B1" s="3" t="s">
        <v>0</v>
      </c>
      <c r="C1" s="3" t="s">
        <v>1</v>
      </c>
      <c r="D1" s="3" t="s">
        <v>2</v>
      </c>
      <c r="E1" s="3" t="s">
        <v>35</v>
      </c>
      <c r="F1" s="3" t="s">
        <v>3</v>
      </c>
      <c r="G1" s="3" t="s">
        <v>4</v>
      </c>
      <c r="H1" s="6" t="s">
        <v>5</v>
      </c>
      <c r="I1" s="3" t="s">
        <v>6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24</v>
      </c>
      <c r="O1" s="9" t="s">
        <v>25</v>
      </c>
      <c r="P1" s="10" t="s">
        <v>26</v>
      </c>
      <c r="Q1" s="10" t="s">
        <v>27</v>
      </c>
      <c r="R1" s="10" t="s">
        <v>28</v>
      </c>
      <c r="S1" s="10" t="s">
        <v>29</v>
      </c>
      <c r="T1" s="10" t="s">
        <v>30</v>
      </c>
      <c r="U1" s="10" t="s">
        <v>31</v>
      </c>
      <c r="V1" s="10" t="s">
        <v>32</v>
      </c>
      <c r="W1" s="10" t="s">
        <v>33</v>
      </c>
      <c r="X1" s="10" t="s">
        <v>34</v>
      </c>
      <c r="Y1" s="10" t="s">
        <v>44</v>
      </c>
    </row>
    <row r="2" spans="1:25" ht="29" x14ac:dyDescent="0.35">
      <c r="A2" s="8" t="s">
        <v>22</v>
      </c>
      <c r="B2" s="5" t="s">
        <v>8</v>
      </c>
      <c r="C2" s="4">
        <v>650</v>
      </c>
      <c r="D2" s="4">
        <v>0.27</v>
      </c>
      <c r="E2" s="4" t="s">
        <v>36</v>
      </c>
      <c r="F2" s="4">
        <v>18</v>
      </c>
      <c r="G2" s="4">
        <v>126</v>
      </c>
      <c r="H2" s="4">
        <v>8.92</v>
      </c>
      <c r="I2" s="4">
        <v>10.92</v>
      </c>
      <c r="J2" s="2">
        <v>6.5000000000000002E-2</v>
      </c>
      <c r="K2" s="2">
        <v>150</v>
      </c>
      <c r="L2" s="7">
        <v>12.4</v>
      </c>
      <c r="M2" s="7">
        <f t="shared" ref="M2:M14" si="0">R2/X2</f>
        <v>4.0595744680851062</v>
      </c>
      <c r="N2" s="2">
        <v>14.2</v>
      </c>
      <c r="O2" s="2">
        <v>6</v>
      </c>
      <c r="P2" s="2">
        <v>2</v>
      </c>
      <c r="Q2" s="2">
        <v>3.8</v>
      </c>
      <c r="R2" s="2">
        <f t="shared" ref="R2:R14" si="1">Q2-P2</f>
        <v>1.7999999999999998</v>
      </c>
      <c r="S2" s="2">
        <v>3</v>
      </c>
      <c r="T2" s="2">
        <v>1.7</v>
      </c>
      <c r="U2" s="2">
        <f t="shared" ref="U2:U14" si="2">V2+W2</f>
        <v>5.3</v>
      </c>
      <c r="V2" s="2">
        <v>0.3</v>
      </c>
      <c r="W2" s="2">
        <v>5</v>
      </c>
      <c r="X2" s="2">
        <f t="shared" ref="X2:X14" si="3">(S2+T2)/(2*U2)</f>
        <v>0.44339622641509435</v>
      </c>
      <c r="Y2" s="2">
        <v>0</v>
      </c>
    </row>
    <row r="3" spans="1:25" ht="29" x14ac:dyDescent="0.35">
      <c r="A3" s="8" t="s">
        <v>23</v>
      </c>
      <c r="B3" s="5" t="s">
        <v>12</v>
      </c>
      <c r="C3" s="4">
        <v>700</v>
      </c>
      <c r="D3" s="4">
        <v>0.49</v>
      </c>
      <c r="E3" s="4" t="s">
        <v>36</v>
      </c>
      <c r="F3" s="4">
        <v>9</v>
      </c>
      <c r="G3" s="4">
        <v>70</v>
      </c>
      <c r="H3" s="4">
        <v>8</v>
      </c>
      <c r="I3" s="4">
        <v>8</v>
      </c>
      <c r="J3" s="2">
        <v>9.6000000000000002E-2</v>
      </c>
      <c r="K3" s="2">
        <v>150</v>
      </c>
      <c r="L3" s="7">
        <v>6.3</v>
      </c>
      <c r="M3" s="7">
        <f t="shared" si="0"/>
        <v>1.571428571428571</v>
      </c>
      <c r="N3" s="2">
        <v>6.7</v>
      </c>
      <c r="O3" s="2">
        <v>6</v>
      </c>
      <c r="P3" s="2">
        <v>0.9</v>
      </c>
      <c r="Q3" s="2">
        <v>1.9</v>
      </c>
      <c r="R3" s="2">
        <f t="shared" si="1"/>
        <v>0.99999999999999989</v>
      </c>
      <c r="S3" s="2">
        <v>2.5</v>
      </c>
      <c r="T3" s="2">
        <v>1.7</v>
      </c>
      <c r="U3" s="2">
        <f t="shared" si="2"/>
        <v>3.3</v>
      </c>
      <c r="V3" s="2">
        <v>1.3</v>
      </c>
      <c r="W3" s="2">
        <v>2</v>
      </c>
      <c r="X3" s="2">
        <f t="shared" si="3"/>
        <v>0.63636363636363646</v>
      </c>
      <c r="Y3" s="2">
        <v>0</v>
      </c>
    </row>
    <row r="4" spans="1:25" ht="29" x14ac:dyDescent="0.35">
      <c r="A4" s="8" t="s">
        <v>19</v>
      </c>
      <c r="B4" s="5" t="s">
        <v>7</v>
      </c>
      <c r="C4" s="4">
        <v>650</v>
      </c>
      <c r="D4" s="4">
        <v>0.53</v>
      </c>
      <c r="E4" s="4" t="s">
        <v>36</v>
      </c>
      <c r="F4" s="4">
        <v>13</v>
      </c>
      <c r="G4" s="4">
        <v>130</v>
      </c>
      <c r="H4" s="4">
        <v>10.275</v>
      </c>
      <c r="I4" s="4">
        <v>9.6999999999999993</v>
      </c>
      <c r="J4" s="2">
        <v>5.2999999999999999E-2</v>
      </c>
      <c r="K4" s="2">
        <v>150</v>
      </c>
      <c r="L4" s="7">
        <v>12</v>
      </c>
      <c r="M4" s="7">
        <f t="shared" si="0"/>
        <v>1.5466666666666671</v>
      </c>
      <c r="N4" s="2">
        <v>11</v>
      </c>
      <c r="O4" s="2">
        <v>5</v>
      </c>
      <c r="P4" s="2">
        <v>1</v>
      </c>
      <c r="Q4" s="2">
        <v>1.8</v>
      </c>
      <c r="R4" s="2">
        <f t="shared" si="1"/>
        <v>0.8</v>
      </c>
      <c r="S4" s="2">
        <v>1.8</v>
      </c>
      <c r="T4" s="2">
        <v>1.2</v>
      </c>
      <c r="U4" s="2">
        <f t="shared" si="2"/>
        <v>2.9000000000000004</v>
      </c>
      <c r="V4" s="2">
        <v>0.7</v>
      </c>
      <c r="W4" s="2">
        <v>2.2000000000000002</v>
      </c>
      <c r="X4" s="2">
        <f t="shared" si="3"/>
        <v>0.51724137931034475</v>
      </c>
      <c r="Y4" s="2">
        <f>(11.475-10.275)*9.7</f>
        <v>11.639999999999992</v>
      </c>
    </row>
    <row r="5" spans="1:25" ht="29" x14ac:dyDescent="0.35">
      <c r="A5" s="13" t="s">
        <v>18</v>
      </c>
      <c r="B5" s="5" t="s">
        <v>9</v>
      </c>
      <c r="C5" s="4">
        <v>650</v>
      </c>
      <c r="D5" s="4">
        <v>0.5</v>
      </c>
      <c r="E5" s="4" t="s">
        <v>36</v>
      </c>
      <c r="F5" s="4">
        <v>19</v>
      </c>
      <c r="G5" s="4">
        <v>144</v>
      </c>
      <c r="H5" s="4">
        <v>11.85</v>
      </c>
      <c r="I5" s="4">
        <v>9.25</v>
      </c>
      <c r="J5" s="2">
        <v>8.5999999999999993E-2</v>
      </c>
      <c r="K5" s="2">
        <v>150</v>
      </c>
      <c r="L5" s="7">
        <v>10</v>
      </c>
      <c r="M5" s="7">
        <f t="shared" si="0"/>
        <v>7.4468085106382951</v>
      </c>
      <c r="N5" s="2">
        <v>26</v>
      </c>
      <c r="O5" s="2">
        <v>10</v>
      </c>
      <c r="P5" s="2">
        <v>7.4</v>
      </c>
      <c r="Q5" s="2">
        <v>10.199999999999999</v>
      </c>
      <c r="R5" s="2">
        <f t="shared" si="1"/>
        <v>2.7999999999999989</v>
      </c>
      <c r="S5" s="2">
        <v>5.5</v>
      </c>
      <c r="T5" s="2">
        <v>3.9</v>
      </c>
      <c r="U5" s="2">
        <f t="shared" si="2"/>
        <v>12.5</v>
      </c>
      <c r="V5" s="2">
        <v>0.5</v>
      </c>
      <c r="W5" s="2">
        <v>12</v>
      </c>
      <c r="X5" s="2">
        <f t="shared" si="3"/>
        <v>0.376</v>
      </c>
      <c r="Y5" s="2">
        <f>(11.85-9.25)*11.85</f>
        <v>30.809999999999995</v>
      </c>
    </row>
    <row r="6" spans="1:25" ht="29" x14ac:dyDescent="0.35">
      <c r="A6" s="8" t="s">
        <v>21</v>
      </c>
      <c r="B6" s="5" t="s">
        <v>10</v>
      </c>
      <c r="C6" s="4">
        <v>650</v>
      </c>
      <c r="D6" s="14">
        <v>0.65</v>
      </c>
      <c r="E6" s="4" t="s">
        <v>36</v>
      </c>
      <c r="F6" s="4">
        <v>16</v>
      </c>
      <c r="G6" s="4">
        <v>127</v>
      </c>
      <c r="H6" s="4">
        <v>10.28</v>
      </c>
      <c r="I6" s="4">
        <v>9.6999999999999993</v>
      </c>
      <c r="J6" s="2">
        <v>6.2E-2</v>
      </c>
      <c r="K6" s="2">
        <v>150</v>
      </c>
      <c r="L6" s="7">
        <v>6.4</v>
      </c>
      <c r="M6" s="11">
        <f t="shared" si="0"/>
        <v>13.578947368421055</v>
      </c>
      <c r="N6" s="2">
        <v>24.5</v>
      </c>
      <c r="O6" s="2">
        <v>12</v>
      </c>
      <c r="P6" s="2">
        <v>6.25</v>
      </c>
      <c r="Q6" s="2">
        <v>8.4</v>
      </c>
      <c r="R6" s="2">
        <f t="shared" si="1"/>
        <v>2.1500000000000004</v>
      </c>
      <c r="S6" s="2">
        <v>5.5</v>
      </c>
      <c r="T6" s="2">
        <v>4</v>
      </c>
      <c r="U6" s="2">
        <f t="shared" si="2"/>
        <v>30</v>
      </c>
      <c r="W6" s="2">
        <v>30</v>
      </c>
      <c r="X6" s="2">
        <f t="shared" si="3"/>
        <v>0.15833333333333333</v>
      </c>
      <c r="Y6" s="2">
        <f>(11.48-10.28)*9.7</f>
        <v>11.640000000000009</v>
      </c>
    </row>
    <row r="7" spans="1:25" ht="29" x14ac:dyDescent="0.35">
      <c r="A7" s="8" t="s">
        <v>20</v>
      </c>
      <c r="B7" s="5" t="s">
        <v>11</v>
      </c>
      <c r="C7" s="4">
        <v>650</v>
      </c>
      <c r="D7" s="14">
        <v>0.8</v>
      </c>
      <c r="E7" s="4" t="s">
        <v>36</v>
      </c>
      <c r="F7" s="4">
        <v>17.5</v>
      </c>
      <c r="G7" s="4">
        <v>147</v>
      </c>
      <c r="H7" s="4">
        <v>10.28</v>
      </c>
      <c r="I7" s="4">
        <v>9.6999999999999993</v>
      </c>
      <c r="J7" s="2">
        <v>7.1999999999999995E-2</v>
      </c>
      <c r="K7" s="2">
        <v>150</v>
      </c>
      <c r="L7" s="7">
        <v>10</v>
      </c>
      <c r="M7" s="11">
        <f t="shared" si="0"/>
        <v>14.526315789473689</v>
      </c>
      <c r="N7" s="2">
        <v>22</v>
      </c>
      <c r="O7" s="2">
        <v>10</v>
      </c>
      <c r="P7" s="2">
        <v>6.1</v>
      </c>
      <c r="Q7" s="2">
        <v>8.4</v>
      </c>
      <c r="R7" s="2">
        <f t="shared" si="1"/>
        <v>2.3000000000000007</v>
      </c>
      <c r="S7" s="2">
        <v>5.5</v>
      </c>
      <c r="T7" s="2">
        <v>4</v>
      </c>
      <c r="U7" s="2">
        <f t="shared" si="2"/>
        <v>30</v>
      </c>
      <c r="W7" s="2">
        <v>30</v>
      </c>
      <c r="X7" s="2">
        <f t="shared" si="3"/>
        <v>0.15833333333333333</v>
      </c>
      <c r="Y7" s="2">
        <f>(11.48-10.28)*9.7</f>
        <v>11.640000000000009</v>
      </c>
    </row>
    <row r="8" spans="1:25" ht="29" x14ac:dyDescent="0.35">
      <c r="A8" s="8" t="s">
        <v>38</v>
      </c>
      <c r="B8" s="12" t="s">
        <v>37</v>
      </c>
      <c r="C8" s="4">
        <v>650</v>
      </c>
      <c r="D8" s="15">
        <v>0.43</v>
      </c>
      <c r="E8" s="4" t="s">
        <v>36</v>
      </c>
      <c r="G8" s="4">
        <v>140</v>
      </c>
      <c r="H8" s="4">
        <v>10.28</v>
      </c>
      <c r="I8" s="4">
        <v>9.6999999999999993</v>
      </c>
      <c r="J8" s="2">
        <v>5.8000000000000003E-2</v>
      </c>
      <c r="K8" s="2">
        <v>150</v>
      </c>
      <c r="L8" s="7">
        <v>8.1999999999999993</v>
      </c>
      <c r="M8" s="7">
        <f t="shared" si="0"/>
        <v>0.98181818181818203</v>
      </c>
      <c r="N8" s="2">
        <v>13.2</v>
      </c>
      <c r="O8" s="2">
        <v>6</v>
      </c>
      <c r="P8" s="2">
        <v>0.75</v>
      </c>
      <c r="Q8" s="2">
        <v>0.9</v>
      </c>
      <c r="R8" s="2">
        <f t="shared" si="1"/>
        <v>0.15000000000000002</v>
      </c>
      <c r="S8" s="2">
        <v>1.8</v>
      </c>
      <c r="T8" s="2">
        <v>1.5</v>
      </c>
      <c r="U8" s="2">
        <f t="shared" si="2"/>
        <v>10.8</v>
      </c>
      <c r="V8" s="2">
        <v>0.8</v>
      </c>
      <c r="W8" s="2">
        <v>10</v>
      </c>
      <c r="X8" s="2">
        <f t="shared" si="3"/>
        <v>0.15277777777777776</v>
      </c>
      <c r="Y8" s="2">
        <f>(11.48-10.28)*9.7</f>
        <v>11.640000000000009</v>
      </c>
    </row>
    <row r="9" spans="1:25" ht="29" x14ac:dyDescent="0.35">
      <c r="A9" s="13" t="s">
        <v>40</v>
      </c>
      <c r="B9" s="12" t="s">
        <v>39</v>
      </c>
      <c r="C9" s="4">
        <v>650</v>
      </c>
      <c r="D9" s="4">
        <v>0.5</v>
      </c>
      <c r="E9" s="4" t="s">
        <v>41</v>
      </c>
      <c r="G9" s="4">
        <v>144</v>
      </c>
      <c r="H9" s="4">
        <v>11.85</v>
      </c>
      <c r="I9" s="4">
        <v>9.25</v>
      </c>
      <c r="J9" s="2">
        <v>8.5999999999999993E-2</v>
      </c>
      <c r="K9" s="2">
        <v>150</v>
      </c>
      <c r="L9" s="7">
        <v>10</v>
      </c>
      <c r="M9" s="7">
        <f t="shared" si="0"/>
        <v>7.4468085106382951</v>
      </c>
      <c r="N9" s="2">
        <v>26</v>
      </c>
      <c r="O9" s="2">
        <v>10</v>
      </c>
      <c r="P9" s="2">
        <v>7.4</v>
      </c>
      <c r="Q9" s="2">
        <v>10.199999999999999</v>
      </c>
      <c r="R9" s="2">
        <f t="shared" si="1"/>
        <v>2.7999999999999989</v>
      </c>
      <c r="S9" s="2">
        <v>5.5</v>
      </c>
      <c r="T9" s="2">
        <v>3.9</v>
      </c>
      <c r="U9" s="2">
        <f t="shared" si="2"/>
        <v>12.5</v>
      </c>
      <c r="V9" s="2">
        <v>0.5</v>
      </c>
      <c r="W9" s="2">
        <v>12</v>
      </c>
      <c r="X9" s="2">
        <f t="shared" si="3"/>
        <v>0.376</v>
      </c>
      <c r="Y9" s="2">
        <f>(11.85-9.25)*11.85</f>
        <v>30.809999999999995</v>
      </c>
    </row>
    <row r="10" spans="1:25" ht="29" x14ac:dyDescent="0.35">
      <c r="A10" s="8" t="s">
        <v>43</v>
      </c>
      <c r="B10" s="12" t="s">
        <v>42</v>
      </c>
      <c r="C10" s="4">
        <v>650</v>
      </c>
      <c r="D10" s="14">
        <v>0.65</v>
      </c>
      <c r="E10" s="4" t="s">
        <v>41</v>
      </c>
      <c r="G10" s="4">
        <v>127</v>
      </c>
      <c r="H10" s="4">
        <v>10</v>
      </c>
      <c r="I10" s="4">
        <v>9.6999999999999993</v>
      </c>
      <c r="J10" s="2">
        <v>6.2E-2</v>
      </c>
      <c r="K10" s="2">
        <v>150</v>
      </c>
      <c r="L10" s="7">
        <v>6.4</v>
      </c>
      <c r="M10" s="7">
        <f t="shared" si="0"/>
        <v>13.578947368421055</v>
      </c>
      <c r="N10" s="2">
        <v>24.5</v>
      </c>
      <c r="O10" s="2">
        <v>12</v>
      </c>
      <c r="P10" s="2">
        <v>6.25</v>
      </c>
      <c r="Q10" s="2">
        <v>8.4</v>
      </c>
      <c r="R10" s="2">
        <f t="shared" si="1"/>
        <v>2.1500000000000004</v>
      </c>
      <c r="S10" s="2">
        <v>5.5</v>
      </c>
      <c r="T10" s="2">
        <v>4</v>
      </c>
      <c r="U10" s="2">
        <f t="shared" si="2"/>
        <v>30</v>
      </c>
      <c r="W10" s="2">
        <v>30</v>
      </c>
      <c r="X10" s="2">
        <f t="shared" si="3"/>
        <v>0.15833333333333333</v>
      </c>
      <c r="Y10" s="2">
        <f>(14.8-10)*9.7</f>
        <v>46.56</v>
      </c>
    </row>
    <row r="11" spans="1:25" ht="29" x14ac:dyDescent="0.35">
      <c r="A11" s="8" t="s">
        <v>46</v>
      </c>
      <c r="B11" s="12" t="s">
        <v>45</v>
      </c>
      <c r="C11" s="4">
        <v>650</v>
      </c>
      <c r="D11" s="14">
        <v>1.05</v>
      </c>
      <c r="E11" s="4" t="s">
        <v>36</v>
      </c>
      <c r="G11" s="4">
        <v>110</v>
      </c>
      <c r="H11" s="4">
        <v>10.28</v>
      </c>
      <c r="I11" s="4">
        <v>9.6999999999999993</v>
      </c>
      <c r="J11" s="2">
        <f>105*0.001</f>
        <v>0.105</v>
      </c>
      <c r="K11" s="2">
        <v>150</v>
      </c>
      <c r="L11" s="7">
        <v>11.3</v>
      </c>
      <c r="M11" s="7">
        <f t="shared" si="0"/>
        <v>17.052631578947366</v>
      </c>
      <c r="N11" s="2">
        <v>15.3</v>
      </c>
      <c r="O11" s="2">
        <v>10</v>
      </c>
      <c r="P11" s="2">
        <v>4.2</v>
      </c>
      <c r="Q11" s="2">
        <v>6</v>
      </c>
      <c r="R11" s="2">
        <f t="shared" si="1"/>
        <v>1.7999999999999998</v>
      </c>
      <c r="S11" s="2">
        <v>5.5</v>
      </c>
      <c r="T11" s="2">
        <v>4</v>
      </c>
      <c r="U11" s="2">
        <f t="shared" si="2"/>
        <v>45</v>
      </c>
      <c r="W11" s="2">
        <v>45</v>
      </c>
      <c r="X11" s="2">
        <f t="shared" si="3"/>
        <v>0.10555555555555556</v>
      </c>
      <c r="Y11" s="2">
        <f>(11.48-10.28)*9.7</f>
        <v>11.640000000000009</v>
      </c>
    </row>
    <row r="12" spans="1:25" ht="29" x14ac:dyDescent="0.35">
      <c r="A12" s="8" t="s">
        <v>47</v>
      </c>
      <c r="B12" s="12" t="s">
        <v>48</v>
      </c>
      <c r="C12" s="4">
        <v>650</v>
      </c>
      <c r="D12" s="14">
        <v>1.05</v>
      </c>
      <c r="E12" s="4" t="s">
        <v>36</v>
      </c>
      <c r="G12" s="4">
        <v>110</v>
      </c>
      <c r="H12" s="4">
        <v>10.06</v>
      </c>
      <c r="I12" s="4">
        <v>9.0500000000000007</v>
      </c>
      <c r="J12" s="2">
        <f>105*0.001</f>
        <v>0.105</v>
      </c>
      <c r="K12" s="2">
        <v>150</v>
      </c>
      <c r="L12" s="7">
        <v>11.3</v>
      </c>
      <c r="M12" s="7">
        <f t="shared" si="0"/>
        <v>17.052631578947366</v>
      </c>
      <c r="N12" s="2">
        <v>15.3</v>
      </c>
      <c r="O12" s="2">
        <v>10</v>
      </c>
      <c r="P12" s="2">
        <v>4.2</v>
      </c>
      <c r="Q12" s="2">
        <v>6</v>
      </c>
      <c r="R12" s="2">
        <f t="shared" si="1"/>
        <v>1.7999999999999998</v>
      </c>
      <c r="S12" s="2">
        <v>5.5</v>
      </c>
      <c r="T12" s="2">
        <v>4</v>
      </c>
      <c r="U12" s="2">
        <f t="shared" si="2"/>
        <v>45</v>
      </c>
      <c r="W12" s="2">
        <v>45</v>
      </c>
      <c r="X12" s="2">
        <f t="shared" si="3"/>
        <v>0.10555555555555556</v>
      </c>
      <c r="Y12" s="2">
        <f>(14.7-9.05)*10.06</f>
        <v>56.838999999999992</v>
      </c>
    </row>
    <row r="13" spans="1:25" ht="29" x14ac:dyDescent="0.35">
      <c r="A13" s="8" t="s">
        <v>50</v>
      </c>
      <c r="B13" s="12" t="s">
        <v>49</v>
      </c>
      <c r="C13" s="4">
        <v>700</v>
      </c>
      <c r="D13" s="14">
        <v>0.54</v>
      </c>
      <c r="E13" s="4" t="s">
        <v>36</v>
      </c>
      <c r="G13" s="4">
        <v>135</v>
      </c>
      <c r="H13" s="4">
        <v>10.28</v>
      </c>
      <c r="I13" s="4">
        <v>9.6999999999999993</v>
      </c>
      <c r="J13" s="2">
        <f>0.122</f>
        <v>0.122</v>
      </c>
      <c r="K13" s="2">
        <v>150</v>
      </c>
      <c r="L13" s="7">
        <v>9</v>
      </c>
      <c r="M13" s="7">
        <f t="shared" si="0"/>
        <v>0.33999999999999991</v>
      </c>
      <c r="N13" s="2">
        <v>8.5</v>
      </c>
      <c r="O13" s="2">
        <v>6</v>
      </c>
      <c r="P13" s="2">
        <v>0.5</v>
      </c>
      <c r="Q13" s="2">
        <v>0.7</v>
      </c>
      <c r="R13" s="2">
        <f t="shared" si="1"/>
        <v>0.19999999999999996</v>
      </c>
      <c r="S13" s="2">
        <v>2.2999999999999998</v>
      </c>
      <c r="T13" s="2">
        <v>1.7</v>
      </c>
      <c r="U13" s="2">
        <f t="shared" si="2"/>
        <v>3.4</v>
      </c>
      <c r="V13" s="2">
        <v>1.4</v>
      </c>
      <c r="W13" s="2">
        <v>2</v>
      </c>
      <c r="X13" s="2">
        <f t="shared" si="3"/>
        <v>0.58823529411764708</v>
      </c>
    </row>
    <row r="14" spans="1:25" ht="29" x14ac:dyDescent="0.35">
      <c r="A14" s="8" t="s">
        <v>52</v>
      </c>
      <c r="B14" s="12" t="s">
        <v>51</v>
      </c>
      <c r="C14" s="4">
        <v>650</v>
      </c>
      <c r="D14" s="15">
        <v>0.78</v>
      </c>
      <c r="E14" s="4" t="s">
        <v>36</v>
      </c>
      <c r="G14" s="4">
        <v>65</v>
      </c>
      <c r="H14" s="4">
        <v>10.28</v>
      </c>
      <c r="I14" s="4">
        <v>9.6999999999999993</v>
      </c>
      <c r="J14" s="2">
        <f>115*0.001</f>
        <v>0.115</v>
      </c>
      <c r="K14" s="2">
        <v>150</v>
      </c>
      <c r="L14" s="7">
        <v>5.9</v>
      </c>
      <c r="M14" s="7">
        <f t="shared" si="0"/>
        <v>0.56727272727272737</v>
      </c>
      <c r="N14" s="2">
        <v>6.4</v>
      </c>
      <c r="O14" s="2">
        <v>6</v>
      </c>
      <c r="P14" s="2">
        <v>0.42</v>
      </c>
      <c r="Q14" s="2">
        <v>0.5</v>
      </c>
      <c r="R14" s="2">
        <f t="shared" si="1"/>
        <v>8.0000000000000016E-2</v>
      </c>
      <c r="S14" s="2">
        <v>1.8</v>
      </c>
      <c r="T14" s="2">
        <v>1.5</v>
      </c>
      <c r="U14" s="2">
        <f t="shared" si="2"/>
        <v>11.7</v>
      </c>
      <c r="V14" s="2">
        <v>1.7</v>
      </c>
      <c r="W14" s="2">
        <v>10</v>
      </c>
      <c r="X14" s="2">
        <f t="shared" si="3"/>
        <v>0.14102564102564102</v>
      </c>
    </row>
  </sheetData>
  <sortState xmlns:xlrd2="http://schemas.microsoft.com/office/spreadsheetml/2017/richdata2" ref="A2:M7">
    <sortCondition ref="A1:A7"/>
  </sortState>
  <hyperlinks>
    <hyperlink ref="B4" r:id="rId1" xr:uid="{E731582E-10C7-4A66-8A8F-8353EE9962B4}"/>
    <hyperlink ref="B2" r:id="rId2" xr:uid="{DD679AF5-F164-4D85-AB75-6A325B78E768}"/>
    <hyperlink ref="B5" r:id="rId3" xr:uid="{B89537E8-E2AB-4CE6-A42B-5FE948E56EAE}"/>
    <hyperlink ref="B6" r:id="rId4" xr:uid="{96BEC7D9-FDCF-405C-9D88-9ACE5DA1EA51}"/>
    <hyperlink ref="B7" r:id="rId5" xr:uid="{9BF96118-FA77-4AA4-99CC-6FEB15379AFF}"/>
    <hyperlink ref="B3" r:id="rId6" xr:uid="{A3A31E43-474D-4BD8-8613-CDDAF7E623D3}"/>
    <hyperlink ref="B8" r:id="rId7" xr:uid="{3661E7B8-221B-432A-AD1D-C831D0C4CBA1}"/>
    <hyperlink ref="B9" r:id="rId8" xr:uid="{9FE97FA5-89A7-456E-8502-AE5A6DCCBAAC}"/>
    <hyperlink ref="B10" r:id="rId9" xr:uid="{415BFA58-79DB-4EA6-8430-5CEB9B5AF7D6}"/>
    <hyperlink ref="B11" r:id="rId10" xr:uid="{4CD0032F-317A-4C6D-AE53-2113B5C60090}"/>
    <hyperlink ref="B12" r:id="rId11" xr:uid="{CFFC2AC9-19D7-4880-8546-8C5C5447F18E}"/>
    <hyperlink ref="B13" r:id="rId12" xr:uid="{E5BD5253-547E-4C66-AC4A-B433458D5464}"/>
    <hyperlink ref="B14" r:id="rId13" xr:uid="{0002DCB2-BAA0-47E6-A0C8-476272565B2D}"/>
  </hyperlinks>
  <pageMargins left="0.7" right="0.7" top="0.75" bottom="0.75" header="0.3" footer="0.3"/>
  <pageSetup orientation="portrait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2026-08-12T16:55:50Z</dcterms:modified>
</cp:coreProperties>
</file>