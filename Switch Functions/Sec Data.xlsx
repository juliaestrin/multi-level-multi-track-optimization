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T\Project\GE Vernova\Github\Switch Functions\"/>
    </mc:Choice>
  </mc:AlternateContent>
  <xr:revisionPtr revIDLastSave="0" documentId="13_ncr:1_{F1C24CF5-7A01-4299-9E7B-AE3E862CF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G14" i="1"/>
  <c r="I12" i="1"/>
  <c r="I13" i="1"/>
  <c r="I11" i="1"/>
  <c r="I10" i="1"/>
  <c r="I6" i="1" l="1"/>
  <c r="H8" i="1"/>
  <c r="I8" i="1"/>
  <c r="G7" i="1"/>
  <c r="I7" i="1"/>
  <c r="I9" i="1"/>
  <c r="I5" i="1"/>
</calcChain>
</file>

<file path=xl/sharedStrings.xml><?xml version="1.0" encoding="utf-8"?>
<sst xmlns="http://schemas.openxmlformats.org/spreadsheetml/2006/main" count="40" uniqueCount="40">
  <si>
    <t>Part Number</t>
  </si>
  <si>
    <t>Vds, max [V]</t>
  </si>
  <si>
    <t>Rth,JC [°C/W]</t>
  </si>
  <si>
    <t>Lmin [mm]</t>
  </si>
  <si>
    <t>Wmin [mm]</t>
  </si>
  <si>
    <t>Rds,on,max [Ω]</t>
  </si>
  <si>
    <t>T_j,max  [°C]</t>
  </si>
  <si>
    <t>t_r [ns]</t>
  </si>
  <si>
    <t>t_f [ns]</t>
  </si>
  <si>
    <t>Coss,typ @ Vds=50V [pF]</t>
  </si>
  <si>
    <t>Coss,max @ Vds=50V [pF]</t>
  </si>
  <si>
    <t>PSMN1R0-100ASFJ</t>
  </si>
  <si>
    <t>PSMN1R0-100ASEJ</t>
  </si>
  <si>
    <t>PSMN1R3-100ASFJ</t>
  </si>
  <si>
    <t>GT010N10TL</t>
  </si>
  <si>
    <t>GT015N10TL</t>
  </si>
  <si>
    <t>IAUT300N10S5N014ATMA1</t>
  </si>
  <si>
    <t>IAUS300N10S5N014ATMA1</t>
  </si>
  <si>
    <t>PSMN1R4-100ASEJ</t>
  </si>
  <si>
    <t>MCTL300N10Y-TP</t>
  </si>
  <si>
    <t>Name</t>
  </si>
  <si>
    <t>Nexperia R0-100ASFJ</t>
  </si>
  <si>
    <t>Nexperia R0-100ASEJ</t>
  </si>
  <si>
    <t>Nexperia R3-100ASFJ</t>
  </si>
  <si>
    <t>Goford GT010</t>
  </si>
  <si>
    <t>Nexperia R4-100ASEJ</t>
  </si>
  <si>
    <t>Infineon IAUT</t>
  </si>
  <si>
    <t>Infineon IAUS</t>
  </si>
  <si>
    <t>Goford GT015</t>
  </si>
  <si>
    <t>MCC MCTL300N</t>
  </si>
  <si>
    <t>EPC2091</t>
  </si>
  <si>
    <t>EPC 2091</t>
  </si>
  <si>
    <t>Qg [nC]</t>
  </si>
  <si>
    <t>Vg [V]</t>
  </si>
  <si>
    <t>Nexperia GANE1R8</t>
  </si>
  <si>
    <t>GANE1R8-100QBAZ</t>
  </si>
  <si>
    <t>EPC2302</t>
  </si>
  <si>
    <t>EPC 2302</t>
  </si>
  <si>
    <t>EPC2022</t>
  </si>
  <si>
    <t>EPC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</si>
</sst>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cc-micro-commercial-components/MCTL300N10Y-TP/13181667" TargetMode="External"/><Relationship Id="rId3" Type="http://schemas.openxmlformats.org/officeDocument/2006/relationships/hyperlink" Target="https://www.digikey.com/en/products/detail/nexperia-usa-inc/PSMN1R3-100ASFJ/25698012" TargetMode="External"/><Relationship Id="rId7" Type="http://schemas.openxmlformats.org/officeDocument/2006/relationships/hyperlink" Target="https://www.digikey.com/en/products/detail/nexperia-usa-inc/PSMN1R4-100ASEJ/25698009" TargetMode="External"/><Relationship Id="rId12" Type="http://schemas.openxmlformats.org/officeDocument/2006/relationships/hyperlink" Target="https://www.digikey.com/en/products/detail/epc/EPC2302/15912607" TargetMode="External"/><Relationship Id="rId2" Type="http://schemas.openxmlformats.org/officeDocument/2006/relationships/hyperlink" Target="https://www.digikey.com/en/products/detail/nexperia-usa-inc/PSMN1R0-100ASEJ/25678401" TargetMode="External"/><Relationship Id="rId1" Type="http://schemas.openxmlformats.org/officeDocument/2006/relationships/hyperlink" Target="https://www.digikey.com/en/products/detail/nexperia-usa-inc/PSMN1R0-100ASFJ/25678528" TargetMode="External"/><Relationship Id="rId6" Type="http://schemas.openxmlformats.org/officeDocument/2006/relationships/hyperlink" Target="https://www.digikey.com/en/products/detail/infineon-technologies/IAUS300N10S5N014ATMA1/15776607" TargetMode="External"/><Relationship Id="rId11" Type="http://schemas.openxmlformats.org/officeDocument/2006/relationships/hyperlink" Target="https://www.digikey.com/en/products/detail/nexperia-usa-inc/GANE1R8-100QBAZ/26687673" TargetMode="External"/><Relationship Id="rId5" Type="http://schemas.openxmlformats.org/officeDocument/2006/relationships/hyperlink" Target="https://www.digikey.com/en/products/detail/infineon-technologies/IAUT300N10S5N014ATMA1/15776582" TargetMode="External"/><Relationship Id="rId10" Type="http://schemas.openxmlformats.org/officeDocument/2006/relationships/hyperlink" Target="https://www.digikey.com/en/products/detail/epc/EPC2091/27524715" TargetMode="External"/><Relationship Id="rId4" Type="http://schemas.openxmlformats.org/officeDocument/2006/relationships/hyperlink" Target="https://www.digikey.com/en/products/detail/goford-semiconductor/GT010N10TL/25835255" TargetMode="External"/><Relationship Id="rId9" Type="http://schemas.openxmlformats.org/officeDocument/2006/relationships/hyperlink" Target="https://www.digikey.com/en/products/detail/goford-semiconductor/GT015N10TL/26716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A4" zoomScale="75" zoomScaleNormal="140" workbookViewId="0">
      <selection activeCell="P11" sqref="P11"/>
    </sheetView>
  </sheetViews>
  <sheetFormatPr defaultRowHeight="14.5" x14ac:dyDescent="0.35"/>
  <cols>
    <col min="1" max="1" width="11" customWidth="1"/>
    <col min="2" max="2" width="11.90625" customWidth="1"/>
    <col min="3" max="3" width="12.90625" customWidth="1"/>
    <col min="4" max="4" width="12.7265625" customWidth="1"/>
    <col min="5" max="5" width="23.1796875" customWidth="1"/>
    <col min="6" max="6" width="23.90625" customWidth="1"/>
    <col min="7" max="7" width="11.6328125" customWidth="1"/>
    <col min="8" max="8" width="13.08984375" customWidth="1"/>
    <col min="9" max="9" width="13.81640625" customWidth="1"/>
    <col min="10" max="10" width="12.08984375" customWidth="1"/>
    <col min="13" max="14" width="8.7265625" style="2"/>
  </cols>
  <sheetData>
    <row r="1" spans="1:14" x14ac:dyDescent="0.35">
      <c r="A1" s="3" t="s">
        <v>20</v>
      </c>
      <c r="B1" s="3" t="s">
        <v>0</v>
      </c>
      <c r="C1" s="3" t="s">
        <v>1</v>
      </c>
      <c r="D1" s="3" t="s">
        <v>2</v>
      </c>
      <c r="E1" s="3" t="s">
        <v>9</v>
      </c>
      <c r="F1" s="3" t="s">
        <v>10</v>
      </c>
      <c r="G1" s="5" t="s">
        <v>3</v>
      </c>
      <c r="H1" s="3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32</v>
      </c>
      <c r="N1" s="1" t="s">
        <v>33</v>
      </c>
    </row>
    <row r="2" spans="1:14" ht="29" x14ac:dyDescent="0.35">
      <c r="A2" s="13" t="s">
        <v>21</v>
      </c>
      <c r="B2" s="7" t="s">
        <v>11</v>
      </c>
      <c r="C2" s="4">
        <v>100</v>
      </c>
      <c r="D2" s="4">
        <v>0.1</v>
      </c>
      <c r="E2" s="4">
        <v>5556</v>
      </c>
      <c r="F2" s="4">
        <v>8889</v>
      </c>
      <c r="G2" s="4">
        <v>11.85</v>
      </c>
      <c r="H2" s="8">
        <v>9.25</v>
      </c>
      <c r="I2" s="2">
        <v>2.3E-3</v>
      </c>
      <c r="J2" s="2">
        <v>175</v>
      </c>
      <c r="K2" s="6">
        <v>90</v>
      </c>
      <c r="L2" s="6">
        <v>129</v>
      </c>
      <c r="M2" s="2">
        <v>359</v>
      </c>
      <c r="N2" s="2">
        <v>10</v>
      </c>
    </row>
    <row r="3" spans="1:14" ht="29" x14ac:dyDescent="0.35">
      <c r="A3" s="13" t="s">
        <v>22</v>
      </c>
      <c r="B3" s="7" t="s">
        <v>12</v>
      </c>
      <c r="C3" s="4">
        <v>100</v>
      </c>
      <c r="D3" s="4">
        <v>0.1</v>
      </c>
      <c r="E3" s="4">
        <v>5635</v>
      </c>
      <c r="F3" s="4">
        <v>9015</v>
      </c>
      <c r="G3" s="8">
        <v>11.85</v>
      </c>
      <c r="H3" s="4">
        <v>9.25</v>
      </c>
      <c r="I3" s="9">
        <v>2.3999999999999998E-3</v>
      </c>
      <c r="J3" s="2">
        <v>175</v>
      </c>
      <c r="K3" s="6">
        <v>91</v>
      </c>
      <c r="L3" s="6">
        <v>131</v>
      </c>
      <c r="M3" s="2">
        <v>339</v>
      </c>
      <c r="N3" s="2">
        <v>10</v>
      </c>
    </row>
    <row r="4" spans="1:14" ht="29" x14ac:dyDescent="0.35">
      <c r="A4" s="13" t="s">
        <v>23</v>
      </c>
      <c r="B4" s="7" t="s">
        <v>13</v>
      </c>
      <c r="C4" s="4">
        <v>100</v>
      </c>
      <c r="D4" s="4">
        <v>0.16</v>
      </c>
      <c r="E4" s="4">
        <v>4157</v>
      </c>
      <c r="F4" s="4">
        <v>6652</v>
      </c>
      <c r="G4" s="4">
        <v>11.85</v>
      </c>
      <c r="H4" s="4">
        <v>9.25</v>
      </c>
      <c r="I4" s="9">
        <v>3.0000000000000001E-3</v>
      </c>
      <c r="J4" s="2">
        <v>175</v>
      </c>
      <c r="K4" s="6">
        <v>63</v>
      </c>
      <c r="L4" s="6">
        <v>84</v>
      </c>
      <c r="M4" s="2">
        <v>255</v>
      </c>
      <c r="N4" s="2">
        <v>10</v>
      </c>
    </row>
    <row r="5" spans="1:14" ht="29" x14ac:dyDescent="0.35">
      <c r="A5" s="13" t="s">
        <v>24</v>
      </c>
      <c r="B5" s="7" t="s">
        <v>14</v>
      </c>
      <c r="C5" s="4">
        <v>100</v>
      </c>
      <c r="D5" s="4">
        <v>0.32</v>
      </c>
      <c r="E5" s="4">
        <v>4220</v>
      </c>
      <c r="F5" s="4"/>
      <c r="G5" s="4">
        <v>10.28</v>
      </c>
      <c r="H5" s="8">
        <v>9.8000000000000007</v>
      </c>
      <c r="I5" s="12">
        <f>1.7*1.15*(10^(-3))</f>
        <v>1.9549999999999997E-3</v>
      </c>
      <c r="J5" s="2">
        <v>150</v>
      </c>
      <c r="K5" s="6">
        <v>23</v>
      </c>
      <c r="L5" s="6">
        <v>22</v>
      </c>
      <c r="M5" s="2">
        <v>220</v>
      </c>
      <c r="N5" s="2">
        <v>10</v>
      </c>
    </row>
    <row r="6" spans="1:14" ht="29" x14ac:dyDescent="0.35">
      <c r="A6" s="13" t="s">
        <v>25</v>
      </c>
      <c r="B6" s="10" t="s">
        <v>18</v>
      </c>
      <c r="C6" s="4">
        <v>100</v>
      </c>
      <c r="D6" s="4">
        <v>0.16</v>
      </c>
      <c r="E6" s="2">
        <v>4089</v>
      </c>
      <c r="F6" s="2">
        <v>6542</v>
      </c>
      <c r="G6" s="2">
        <v>11.85</v>
      </c>
      <c r="H6" s="6">
        <v>9.25</v>
      </c>
      <c r="I6" s="2">
        <f>3.1*(10^(-3))</f>
        <v>3.1000000000000003E-3</v>
      </c>
      <c r="J6" s="2">
        <v>175</v>
      </c>
      <c r="K6" s="6">
        <v>66</v>
      </c>
      <c r="L6" s="6">
        <v>86</v>
      </c>
      <c r="M6" s="2">
        <v>244</v>
      </c>
      <c r="N6" s="2">
        <v>10</v>
      </c>
    </row>
    <row r="7" spans="1:14" s="2" customFormat="1" ht="43.5" x14ac:dyDescent="0.35">
      <c r="A7" s="13" t="s">
        <v>26</v>
      </c>
      <c r="B7" s="10" t="s">
        <v>16</v>
      </c>
      <c r="C7" s="4">
        <v>100</v>
      </c>
      <c r="D7" s="4">
        <v>0.4</v>
      </c>
      <c r="E7" s="4">
        <v>1920</v>
      </c>
      <c r="F7" s="4">
        <v>2496</v>
      </c>
      <c r="G7" s="2">
        <f>10.375-0.1</f>
        <v>10.275</v>
      </c>
      <c r="H7" s="6">
        <v>9.8000000000000007</v>
      </c>
      <c r="I7" s="11">
        <f>2.91*(10^(-3))</f>
        <v>2.9100000000000003E-3</v>
      </c>
      <c r="J7" s="2">
        <v>175</v>
      </c>
      <c r="K7" s="6">
        <v>15</v>
      </c>
      <c r="L7" s="6">
        <v>48</v>
      </c>
      <c r="M7" s="2">
        <v>166</v>
      </c>
      <c r="N7" s="2">
        <v>10</v>
      </c>
    </row>
    <row r="8" spans="1:14" ht="43.5" x14ac:dyDescent="0.35">
      <c r="A8" s="13" t="s">
        <v>27</v>
      </c>
      <c r="B8" s="10" t="s">
        <v>17</v>
      </c>
      <c r="C8" s="4">
        <v>100</v>
      </c>
      <c r="D8" s="4">
        <v>0.4</v>
      </c>
      <c r="E8" s="2">
        <v>1920</v>
      </c>
      <c r="F8" s="2">
        <v>2496</v>
      </c>
      <c r="G8" s="2">
        <v>9.75</v>
      </c>
      <c r="H8" s="2">
        <f>8.55-0.1</f>
        <v>8.4500000000000011</v>
      </c>
      <c r="I8" s="11">
        <f>2.91*(10^(-3))</f>
        <v>2.9100000000000003E-3</v>
      </c>
      <c r="J8" s="2">
        <v>175</v>
      </c>
      <c r="K8" s="6">
        <v>15</v>
      </c>
      <c r="L8" s="6">
        <v>48</v>
      </c>
      <c r="M8" s="2">
        <v>166</v>
      </c>
      <c r="N8" s="2">
        <v>10</v>
      </c>
    </row>
    <row r="9" spans="1:14" ht="29" x14ac:dyDescent="0.35">
      <c r="A9" s="13" t="s">
        <v>28</v>
      </c>
      <c r="B9" s="7" t="s">
        <v>15</v>
      </c>
      <c r="C9" s="4">
        <v>100</v>
      </c>
      <c r="D9" s="4">
        <v>0.32</v>
      </c>
      <c r="E9" s="4">
        <v>2000</v>
      </c>
      <c r="F9" s="4"/>
      <c r="G9" s="4">
        <v>10.28</v>
      </c>
      <c r="H9" s="8">
        <v>9.8000000000000007</v>
      </c>
      <c r="I9" s="9">
        <f>2*1.15*(10^(-3))</f>
        <v>2.3E-3</v>
      </c>
      <c r="J9" s="2">
        <v>150</v>
      </c>
      <c r="K9" s="6">
        <v>35</v>
      </c>
      <c r="L9" s="6">
        <v>49</v>
      </c>
      <c r="M9" s="2">
        <v>260</v>
      </c>
      <c r="N9" s="2">
        <v>10</v>
      </c>
    </row>
    <row r="10" spans="1:14" ht="29" x14ac:dyDescent="0.35">
      <c r="A10" s="13" t="s">
        <v>29</v>
      </c>
      <c r="B10" s="10" t="s">
        <v>19</v>
      </c>
      <c r="C10" s="4">
        <v>100</v>
      </c>
      <c r="D10" s="4">
        <v>0.25</v>
      </c>
      <c r="E10" s="2">
        <v>2058</v>
      </c>
      <c r="G10" s="2">
        <v>10.28</v>
      </c>
      <c r="H10" s="6">
        <v>9.6999999999999993</v>
      </c>
      <c r="I10" s="2">
        <f>2.4*(10^(-3))</f>
        <v>2.3999999999999998E-3</v>
      </c>
      <c r="J10" s="2">
        <v>150</v>
      </c>
      <c r="K10" s="6">
        <v>69</v>
      </c>
      <c r="L10" s="6">
        <v>105</v>
      </c>
      <c r="M10" s="2">
        <v>240</v>
      </c>
      <c r="N10" s="2">
        <v>10</v>
      </c>
    </row>
    <row r="11" spans="1:14" x14ac:dyDescent="0.35">
      <c r="A11" s="4" t="s">
        <v>31</v>
      </c>
      <c r="B11" s="14" t="s">
        <v>30</v>
      </c>
      <c r="C11" s="4">
        <v>100</v>
      </c>
      <c r="D11" s="4">
        <v>1.08</v>
      </c>
      <c r="E11" s="4">
        <v>1035</v>
      </c>
      <c r="F11" s="4">
        <v>1423</v>
      </c>
      <c r="G11" s="4">
        <v>3.2</v>
      </c>
      <c r="H11" s="6">
        <v>2.85</v>
      </c>
      <c r="I11" s="15">
        <f>1.9*(10^(-3))</f>
        <v>1.9E-3</v>
      </c>
      <c r="J11" s="2">
        <v>150</v>
      </c>
      <c r="K11" s="6">
        <v>1.28</v>
      </c>
      <c r="L11" s="6">
        <v>2.14</v>
      </c>
      <c r="M11" s="2">
        <v>20</v>
      </c>
      <c r="N11" s="2">
        <v>5</v>
      </c>
    </row>
    <row r="12" spans="1:14" ht="29" x14ac:dyDescent="0.35">
      <c r="A12" s="13" t="s">
        <v>34</v>
      </c>
      <c r="B12" s="10" t="s">
        <v>35</v>
      </c>
      <c r="C12" s="4">
        <v>100</v>
      </c>
      <c r="D12" s="4">
        <v>1.92</v>
      </c>
      <c r="E12" s="2">
        <v>1100</v>
      </c>
      <c r="G12" s="2">
        <v>5.9</v>
      </c>
      <c r="H12" s="6">
        <v>3.9</v>
      </c>
      <c r="I12" s="2">
        <f>0.0028</f>
        <v>2.8E-3</v>
      </c>
      <c r="J12" s="2">
        <v>150</v>
      </c>
      <c r="K12" s="6">
        <v>2.88</v>
      </c>
      <c r="L12" s="6">
        <v>4.8099999999999996</v>
      </c>
      <c r="M12" s="2">
        <v>22</v>
      </c>
      <c r="N12" s="2">
        <v>5</v>
      </c>
    </row>
    <row r="13" spans="1:14" x14ac:dyDescent="0.35">
      <c r="A13" s="13" t="s">
        <v>37</v>
      </c>
      <c r="B13" s="14" t="s">
        <v>36</v>
      </c>
      <c r="C13" s="4">
        <v>100</v>
      </c>
      <c r="D13" s="4">
        <v>1.5</v>
      </c>
      <c r="E13" s="2">
        <v>1000</v>
      </c>
      <c r="F13" s="2">
        <v>1200</v>
      </c>
      <c r="G13" s="2">
        <v>4.9000000000000004</v>
      </c>
      <c r="H13" s="6">
        <v>2.9</v>
      </c>
      <c r="I13" s="2">
        <f>0.00287</f>
        <v>2.8700000000000002E-3</v>
      </c>
      <c r="J13" s="2">
        <v>150</v>
      </c>
      <c r="K13" s="6">
        <v>1.65</v>
      </c>
      <c r="L13" s="6">
        <v>2.08</v>
      </c>
      <c r="M13" s="2">
        <v>23</v>
      </c>
      <c r="N13" s="2">
        <v>5</v>
      </c>
    </row>
    <row r="14" spans="1:14" x14ac:dyDescent="0.35">
      <c r="A14" s="13" t="s">
        <v>39</v>
      </c>
      <c r="B14" s="2" t="s">
        <v>38</v>
      </c>
      <c r="C14" s="4">
        <v>100</v>
      </c>
      <c r="D14" s="4">
        <v>1.1000000000000001</v>
      </c>
      <c r="E14" s="2">
        <v>840</v>
      </c>
      <c r="F14" s="2">
        <v>1260</v>
      </c>
      <c r="G14" s="2">
        <f>6020*0.001</f>
        <v>6.0200000000000005</v>
      </c>
      <c r="H14" s="2">
        <f>2270*0.001</f>
        <v>2.27</v>
      </c>
      <c r="I14" s="2">
        <f>0.00468</f>
        <v>4.6800000000000001E-3</v>
      </c>
      <c r="J14" s="2">
        <v>150</v>
      </c>
      <c r="K14" s="6">
        <v>1.83</v>
      </c>
      <c r="L14" s="6">
        <v>2.02</v>
      </c>
      <c r="M14" s="2">
        <v>13</v>
      </c>
      <c r="N14" s="2">
        <v>5</v>
      </c>
    </row>
  </sheetData>
  <hyperlinks>
    <hyperlink ref="B2" r:id="rId1" xr:uid="{39670C8C-9090-44DE-87F7-7AF5E8AA95C6}"/>
    <hyperlink ref="B3" r:id="rId2" xr:uid="{AA4223A7-8CE5-492F-9606-2B5FDB8F7E55}"/>
    <hyperlink ref="B4" r:id="rId3" xr:uid="{096F1F86-1490-4061-9957-6E55A72281C4}"/>
    <hyperlink ref="B5" r:id="rId4" xr:uid="{D2DAE60C-4704-4CAD-B429-AF974196FB4C}"/>
    <hyperlink ref="B7" r:id="rId5" xr:uid="{68FC437B-9F78-47DE-AA76-BCA29E937688}"/>
    <hyperlink ref="B8" r:id="rId6" xr:uid="{526D08B2-EA82-4907-9A21-29C008E12912}"/>
    <hyperlink ref="B6" r:id="rId7" xr:uid="{ECD44B45-E607-4A15-8629-4613BFBCB124}"/>
    <hyperlink ref="B10" r:id="rId8" xr:uid="{35C0AD77-7B07-47DB-B0E4-34BDF1505EA0}"/>
    <hyperlink ref="B9" r:id="rId9" xr:uid="{2C0918C6-1C47-4128-923E-F28EC9C3A2AC}"/>
    <hyperlink ref="B11" r:id="rId10" xr:uid="{76AEC0EF-7B21-4CB5-9BDC-8DE14B8BDDDE}"/>
    <hyperlink ref="B12" r:id="rId11" xr:uid="{94E5245F-6324-457E-AD43-7D0DAAA98FFF}"/>
    <hyperlink ref="B13" r:id="rId12" xr:uid="{FEB64A02-9B29-4A27-8E77-3DC713E95C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2026-05-18T20:01:18Z</dcterms:modified>
</cp:coreProperties>
</file>