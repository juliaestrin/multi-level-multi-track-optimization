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a Estrin\MIT Dropbox\Julia Estrin\MIT\Research\GE Vernova\Multi-Level-Multi-Track-Optimization\Switch Functions\"/>
    </mc:Choice>
  </mc:AlternateContent>
  <xr:revisionPtr revIDLastSave="0" documentId="8_{82838FF3-2265-47B5-A456-1E606ABCC781}" xr6:coauthVersionLast="47" xr6:coauthVersionMax="47" xr10:uidLastSave="{00000000-0000-0000-0000-000000000000}"/>
  <bookViews>
    <workbookView xWindow="-30828" yWindow="5988" windowWidth="30936" windowHeight="16776" xr2:uid="{34963B0D-BC0D-4AE8-B590-182039DA0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2" i="1" l="1"/>
  <c r="X2" i="1" s="1"/>
  <c r="R2" i="1"/>
  <c r="M2" i="1" l="1"/>
</calcChain>
</file>

<file path=xl/sharedStrings.xml><?xml version="1.0" encoding="utf-8"?>
<sst xmlns="http://schemas.openxmlformats.org/spreadsheetml/2006/main" count="27" uniqueCount="27">
  <si>
    <t>Name</t>
  </si>
  <si>
    <t>Part Number</t>
  </si>
  <si>
    <t>Vds, max [V]</t>
  </si>
  <si>
    <t>Rth,JC [°C/W]</t>
  </si>
  <si>
    <t>Cooling Side</t>
  </si>
  <si>
    <t>Eoss @ Vds = 420V [uJ]</t>
  </si>
  <si>
    <t>Coss @ Vds = 420V [pF]</t>
  </si>
  <si>
    <t>Lmin [mm]</t>
  </si>
  <si>
    <t>Wmin [mm]</t>
  </si>
  <si>
    <t>Rds,on,max [Ω]</t>
  </si>
  <si>
    <t>T_j,max  [°C]</t>
  </si>
  <si>
    <t>t_r [ns]</t>
  </si>
  <si>
    <t>t_f [ns]</t>
  </si>
  <si>
    <t>Qg [nC]</t>
  </si>
  <si>
    <t>Vgs [V]</t>
  </si>
  <si>
    <t>Q_gs(th)</t>
  </si>
  <si>
    <t>Q_gs</t>
  </si>
  <si>
    <t>Q_gs2</t>
  </si>
  <si>
    <t>V_pl_q1</t>
  </si>
  <si>
    <t>V_th</t>
  </si>
  <si>
    <t>R_goff</t>
  </si>
  <si>
    <t>R_g(int)</t>
  </si>
  <si>
    <t>R_g (test)</t>
  </si>
  <si>
    <t>I_gc_cf_off</t>
  </si>
  <si>
    <t>Bottom</t>
  </si>
  <si>
    <t>Infineon IGT65R025</t>
  </si>
  <si>
    <t>IGT65R025D2ATMA1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</si>
</sst>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gikey.com/en/products/detail/infineon-technologies/IGT65R025D2ATMA1/258801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AC12-F0FC-4E98-A0D7-20A559E9FCC3}">
  <dimension ref="A1:X2"/>
  <sheetViews>
    <sheetView tabSelected="1" workbookViewId="0">
      <selection activeCell="N13" sqref="N13"/>
    </sheetView>
  </sheetViews>
  <sheetFormatPr defaultRowHeight="14.4" x14ac:dyDescent="0.55000000000000004"/>
  <sheetData>
    <row r="1" spans="1:24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ht="43.2" x14ac:dyDescent="0.55000000000000004">
      <c r="A2" s="6" t="s">
        <v>25</v>
      </c>
      <c r="B2" s="7" t="s">
        <v>26</v>
      </c>
      <c r="C2" s="8">
        <v>650</v>
      </c>
      <c r="D2" s="8">
        <v>0.53</v>
      </c>
      <c r="E2" s="8" t="s">
        <v>24</v>
      </c>
      <c r="F2" s="8">
        <v>13</v>
      </c>
      <c r="G2" s="8">
        <v>130</v>
      </c>
      <c r="H2" s="8">
        <v>10.275</v>
      </c>
      <c r="I2" s="8">
        <v>9.6999999999999993</v>
      </c>
      <c r="J2" s="9">
        <v>5.2999999999999999E-2</v>
      </c>
      <c r="K2" s="9">
        <v>150</v>
      </c>
      <c r="L2" s="10">
        <v>12</v>
      </c>
      <c r="M2" s="10">
        <f t="shared" ref="M2" si="0">R2/X2</f>
        <v>1.5466666666666671</v>
      </c>
      <c r="N2" s="9">
        <v>11</v>
      </c>
      <c r="O2" s="9">
        <v>3</v>
      </c>
      <c r="P2" s="9">
        <v>1</v>
      </c>
      <c r="Q2" s="9">
        <v>1.8</v>
      </c>
      <c r="R2" s="9">
        <f t="shared" ref="R2" si="1">Q2-P2</f>
        <v>0.8</v>
      </c>
      <c r="S2" s="9">
        <v>1.8</v>
      </c>
      <c r="T2" s="9">
        <v>1.2</v>
      </c>
      <c r="U2" s="9">
        <f t="shared" ref="U2" si="2">V2+W2</f>
        <v>2.9000000000000004</v>
      </c>
      <c r="V2" s="9">
        <v>0.7</v>
      </c>
      <c r="W2" s="9">
        <v>2.2000000000000002</v>
      </c>
      <c r="X2" s="9">
        <f t="shared" ref="X2" si="3">(S2+T2)/(2*U2)</f>
        <v>0.51724137931034475</v>
      </c>
    </row>
  </sheetData>
  <hyperlinks>
    <hyperlink ref="B2" r:id="rId1" xr:uid="{2698C231-EEC8-4A57-8133-60B6D0F636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Estrin</dc:creator>
  <cp:lastModifiedBy>Julia Estrin</cp:lastModifiedBy>
  <dcterms:created xsi:type="dcterms:W3CDTF">2026-05-12T18:14:13Z</dcterms:created>
  <dcterms:modified xsi:type="dcterms:W3CDTF">2026-05-12T18:16:08Z</dcterms:modified>
</cp:coreProperties>
</file>