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IT\Project\GE Vernova\Github\Switch Functions\"/>
    </mc:Choice>
  </mc:AlternateContent>
  <xr:revisionPtr revIDLastSave="0" documentId="13_ncr:1_{824FA173-508D-48C3-A6F9-9297C90E94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1" l="1"/>
  <c r="Y12" i="1"/>
  <c r="J12" i="1"/>
  <c r="Y11" i="1"/>
  <c r="Y10" i="1"/>
  <c r="Y9" i="1"/>
  <c r="J9" i="1"/>
  <c r="Y8" i="1"/>
  <c r="Y7" i="1"/>
  <c r="Y6" i="1"/>
  <c r="J6" i="1"/>
  <c r="Y4" i="1"/>
  <c r="U4" i="1"/>
  <c r="X4" i="1" s="1"/>
  <c r="R4" i="1"/>
  <c r="Y2" i="1"/>
  <c r="Y3" i="1"/>
  <c r="U3" i="1"/>
  <c r="X3" i="1" s="1"/>
  <c r="R3" i="1"/>
  <c r="J3" i="1"/>
  <c r="R2" i="1"/>
  <c r="U2" i="1"/>
  <c r="X2" i="1" s="1"/>
  <c r="J17" i="1"/>
  <c r="I17" i="1"/>
  <c r="H17" i="1"/>
  <c r="J15" i="1"/>
  <c r="J16" i="1"/>
  <c r="J14" i="1"/>
  <c r="J13" i="1"/>
  <c r="M2" i="1" l="1"/>
  <c r="M3" i="1"/>
  <c r="M4" i="1"/>
  <c r="J8" i="1"/>
  <c r="I10" i="1"/>
  <c r="J10" i="1"/>
  <c r="H9" i="1"/>
  <c r="J11" i="1"/>
  <c r="J7" i="1"/>
</calcChain>
</file>

<file path=xl/sharedStrings.xml><?xml version="1.0" encoding="utf-8"?>
<sst xmlns="http://schemas.openxmlformats.org/spreadsheetml/2006/main" count="73" uniqueCount="60">
  <si>
    <t>Part Number</t>
  </si>
  <si>
    <t>Vds, max [V]</t>
  </si>
  <si>
    <t>Lmin [mm]</t>
  </si>
  <si>
    <t>Wmin [mm]</t>
  </si>
  <si>
    <t>Rds,on,max [Ω]</t>
  </si>
  <si>
    <t>T_j,max  [°C]</t>
  </si>
  <si>
    <t>t_r [ns]</t>
  </si>
  <si>
    <t>t_f [ns]</t>
  </si>
  <si>
    <t>Coss,typ @ Vds=50V [pF]</t>
  </si>
  <si>
    <t>Coss,max @ Vds=50V [pF]</t>
  </si>
  <si>
    <t>PSMN1R0-100ASFJ</t>
  </si>
  <si>
    <t>PSMN1R0-100ASEJ</t>
  </si>
  <si>
    <t>PSMN1R3-100ASFJ</t>
  </si>
  <si>
    <t>GT010N10TL</t>
  </si>
  <si>
    <t>GT015N10TL</t>
  </si>
  <si>
    <t>IAUT300N10S5N014ATMA1</t>
  </si>
  <si>
    <t>IAUS300N10S5N014ATMA1</t>
  </si>
  <si>
    <t>PSMN1R4-100ASEJ</t>
  </si>
  <si>
    <t>MCTL300N10Y-TP</t>
  </si>
  <si>
    <t>Name</t>
  </si>
  <si>
    <t>Nexperia R0-100ASFJ</t>
  </si>
  <si>
    <t>Nexperia R0-100ASEJ</t>
  </si>
  <si>
    <t>Nexperia R3-100ASFJ</t>
  </si>
  <si>
    <t>Goford GT010</t>
  </si>
  <si>
    <t>Nexperia R4-100ASEJ</t>
  </si>
  <si>
    <t>Infineon IAUS</t>
  </si>
  <si>
    <t>Goford GT015</t>
  </si>
  <si>
    <t>MCC MCTL300N</t>
  </si>
  <si>
    <t>EPC2091</t>
  </si>
  <si>
    <t>EPC 2091</t>
  </si>
  <si>
    <t>Qg [nC]</t>
  </si>
  <si>
    <t>Vg [V]</t>
  </si>
  <si>
    <t>Nexperia GANE1R8</t>
  </si>
  <si>
    <t>GANE1R8-100QBAZ</t>
  </si>
  <si>
    <t>EPC2302</t>
  </si>
  <si>
    <t>EPC 2302</t>
  </si>
  <si>
    <t>EPC2022</t>
  </si>
  <si>
    <t>EPC 2022</t>
  </si>
  <si>
    <t>Q_gs(th)</t>
  </si>
  <si>
    <t>Q_gs</t>
  </si>
  <si>
    <t>Q_gs2</t>
  </si>
  <si>
    <t>V_pl_q1</t>
  </si>
  <si>
    <t>V_th</t>
  </si>
  <si>
    <t>R_goff</t>
  </si>
  <si>
    <t>R_g(int)</t>
  </si>
  <si>
    <t>R_g (test)</t>
  </si>
  <si>
    <t>I_gc_cf_off</t>
  </si>
  <si>
    <t>Pin_Area [mm^2]</t>
  </si>
  <si>
    <t>Cooling Side</t>
  </si>
  <si>
    <t>Bottom</t>
  </si>
  <si>
    <t>PSMN1R0-100CSFJ</t>
  </si>
  <si>
    <t>Nexperia R0-100CSFJ</t>
  </si>
  <si>
    <t>Top</t>
  </si>
  <si>
    <t>max Rth,JC [°C/W]</t>
  </si>
  <si>
    <t>PSMN1R4-100CSFJ</t>
  </si>
  <si>
    <t>Nexperia R4-100CSFJ</t>
  </si>
  <si>
    <t>PSMN1R4-100CSEJ</t>
  </si>
  <si>
    <t>Nexperia R4-100CSEJ</t>
  </si>
  <si>
    <t xml:space="preserve">Top </t>
  </si>
  <si>
    <t>Infineon IAUT-N014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</si>
</sst>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cc-micro-commercial-components/MCTL300N10Y-TP/13181667" TargetMode="External"/><Relationship Id="rId13" Type="http://schemas.openxmlformats.org/officeDocument/2006/relationships/hyperlink" Target="https://www.digikey.com/en/products/detail/nexperia-usa-inc/PSMN1R0-100CSFJ/25678352" TargetMode="External"/><Relationship Id="rId3" Type="http://schemas.openxmlformats.org/officeDocument/2006/relationships/hyperlink" Target="https://www.digikey.com/en/products/detail/nexperia-usa-inc/PSMN1R3-100ASFJ/25698012" TargetMode="External"/><Relationship Id="rId7" Type="http://schemas.openxmlformats.org/officeDocument/2006/relationships/hyperlink" Target="https://www.digikey.com/en/products/detail/nexperia-usa-inc/PSMN1R4-100ASEJ/25698009" TargetMode="External"/><Relationship Id="rId12" Type="http://schemas.openxmlformats.org/officeDocument/2006/relationships/hyperlink" Target="https://www.digikey.com/en/products/detail/epc/EPC2302/15912607" TargetMode="External"/><Relationship Id="rId2" Type="http://schemas.openxmlformats.org/officeDocument/2006/relationships/hyperlink" Target="https://www.digikey.com/en/products/detail/nexperia-usa-inc/PSMN1R0-100ASEJ/25678401" TargetMode="External"/><Relationship Id="rId1" Type="http://schemas.openxmlformats.org/officeDocument/2006/relationships/hyperlink" Target="https://www.digikey.com/en/products/detail/nexperia-usa-inc/PSMN1R0-100ASFJ/25678528" TargetMode="External"/><Relationship Id="rId6" Type="http://schemas.openxmlformats.org/officeDocument/2006/relationships/hyperlink" Target="https://www.digikey.com/en/products/detail/infineon-technologies/IAUS300N10S5N014ATMA1/15776607" TargetMode="External"/><Relationship Id="rId11" Type="http://schemas.openxmlformats.org/officeDocument/2006/relationships/hyperlink" Target="https://www.digikey.com/en/products/detail/nexperia-usa-inc/GANE1R8-100QBAZ/26687673" TargetMode="External"/><Relationship Id="rId5" Type="http://schemas.openxmlformats.org/officeDocument/2006/relationships/hyperlink" Target="https://www.digikey.com/en/products/detail/infineon-technologies/IAUT300N10S5N014ATMA1/15776582" TargetMode="External"/><Relationship Id="rId15" Type="http://schemas.openxmlformats.org/officeDocument/2006/relationships/hyperlink" Target="https://www.digikey.com/en/products/detail/nexperia-usa-inc/PSMN1R4-100CSEJ/25698011" TargetMode="External"/><Relationship Id="rId10" Type="http://schemas.openxmlformats.org/officeDocument/2006/relationships/hyperlink" Target="https://www.digikey.com/en/products/detail/epc/EPC2091/27524715" TargetMode="External"/><Relationship Id="rId4" Type="http://schemas.openxmlformats.org/officeDocument/2006/relationships/hyperlink" Target="https://www.digikey.com/en/products/detail/goford-semiconductor/GT010N10TL/25835255" TargetMode="External"/><Relationship Id="rId9" Type="http://schemas.openxmlformats.org/officeDocument/2006/relationships/hyperlink" Target="https://www.digikey.com/en/products/detail/goford-semiconductor/GT015N10TL/26716905" TargetMode="External"/><Relationship Id="rId14" Type="http://schemas.openxmlformats.org/officeDocument/2006/relationships/hyperlink" Target="https://www.digikey.com/en/products/detail/nexperia-usa-inc/PSMN1R4-100CSFJ/25698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"/>
  <sheetViews>
    <sheetView tabSelected="1" topLeftCell="A5" zoomScale="75" zoomScaleNormal="140" workbookViewId="0">
      <selection activeCell="A18" sqref="A18:XFD18"/>
    </sheetView>
  </sheetViews>
  <sheetFormatPr defaultRowHeight="14.5" x14ac:dyDescent="0.35"/>
  <cols>
    <col min="1" max="1" width="11" customWidth="1"/>
    <col min="2" max="2" width="11.90625" customWidth="1"/>
    <col min="3" max="3" width="12.90625" customWidth="1"/>
    <col min="4" max="4" width="17.54296875" customWidth="1"/>
    <col min="5" max="5" width="12.7265625" customWidth="1"/>
    <col min="6" max="6" width="23.1796875" customWidth="1"/>
    <col min="7" max="7" width="23.90625" customWidth="1"/>
    <col min="8" max="8" width="11.6328125" customWidth="1"/>
    <col min="9" max="9" width="13.08984375" customWidth="1"/>
    <col min="10" max="10" width="13.81640625" customWidth="1"/>
    <col min="11" max="11" width="12.08984375" customWidth="1"/>
    <col min="14" max="15" width="8.7265625" style="2"/>
    <col min="16" max="16" width="9.81640625" style="2" customWidth="1"/>
    <col min="17" max="17" width="8.1796875" style="2" customWidth="1"/>
    <col min="18" max="18" width="8.7265625" style="2"/>
    <col min="19" max="19" width="9.26953125" customWidth="1"/>
    <col min="20" max="20" width="9.26953125" style="2" customWidth="1"/>
    <col min="21" max="21" width="8.54296875" style="2" customWidth="1"/>
    <col min="22" max="22" width="9.81640625" style="2" customWidth="1"/>
    <col min="23" max="23" width="9.7265625" style="2" customWidth="1"/>
    <col min="24" max="24" width="12.453125" customWidth="1"/>
    <col min="25" max="25" width="16.7265625" style="2" customWidth="1"/>
  </cols>
  <sheetData>
    <row r="1" spans="1:25" x14ac:dyDescent="0.35">
      <c r="A1" s="3" t="s">
        <v>19</v>
      </c>
      <c r="B1" s="3" t="s">
        <v>0</v>
      </c>
      <c r="C1" s="3" t="s">
        <v>1</v>
      </c>
      <c r="D1" s="3" t="s">
        <v>53</v>
      </c>
      <c r="E1" s="3" t="s">
        <v>48</v>
      </c>
      <c r="F1" s="3" t="s">
        <v>8</v>
      </c>
      <c r="G1" s="3" t="s">
        <v>9</v>
      </c>
      <c r="H1" s="5" t="s">
        <v>2</v>
      </c>
      <c r="I1" s="3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30</v>
      </c>
      <c r="O1" s="1" t="s">
        <v>31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</row>
    <row r="2" spans="1:25" ht="29" x14ac:dyDescent="0.35">
      <c r="A2" s="13" t="s">
        <v>20</v>
      </c>
      <c r="B2" s="7" t="s">
        <v>10</v>
      </c>
      <c r="C2" s="4">
        <v>100</v>
      </c>
      <c r="D2" s="4">
        <v>0.1</v>
      </c>
      <c r="E2" s="4" t="s">
        <v>49</v>
      </c>
      <c r="F2" s="4">
        <v>5556</v>
      </c>
      <c r="G2" s="4">
        <v>8889</v>
      </c>
      <c r="H2" s="4">
        <v>11.85</v>
      </c>
      <c r="I2" s="8">
        <v>9.25</v>
      </c>
      <c r="J2" s="2">
        <v>2.3E-3</v>
      </c>
      <c r="K2" s="2">
        <v>175</v>
      </c>
      <c r="L2" s="6">
        <v>90</v>
      </c>
      <c r="M2" s="6">
        <f>R2/X2</f>
        <v>55.917808219178092</v>
      </c>
      <c r="N2" s="2">
        <v>359</v>
      </c>
      <c r="O2" s="2">
        <v>10</v>
      </c>
      <c r="P2" s="2">
        <v>69.5</v>
      </c>
      <c r="Q2" s="2">
        <v>102</v>
      </c>
      <c r="R2" s="2">
        <f>Q2-P2</f>
        <v>32.5</v>
      </c>
      <c r="S2" s="2">
        <v>4.3</v>
      </c>
      <c r="T2" s="2">
        <v>3</v>
      </c>
      <c r="U2" s="2">
        <f>W2+V2</f>
        <v>6.28</v>
      </c>
      <c r="V2" s="2">
        <v>1.28</v>
      </c>
      <c r="W2" s="2">
        <v>5</v>
      </c>
      <c r="X2" s="2">
        <f>(S2+T2)/(2*U2)</f>
        <v>0.58121019108280247</v>
      </c>
      <c r="Y2" s="2">
        <f>(11.85-9.25)*11.85</f>
        <v>30.809999999999995</v>
      </c>
    </row>
    <row r="3" spans="1:25" ht="32" customHeight="1" x14ac:dyDescent="0.35">
      <c r="A3" s="13" t="s">
        <v>51</v>
      </c>
      <c r="B3" s="7" t="s">
        <v>50</v>
      </c>
      <c r="C3" s="4">
        <v>100</v>
      </c>
      <c r="D3" s="4">
        <v>0.1</v>
      </c>
      <c r="E3" s="4" t="s">
        <v>52</v>
      </c>
      <c r="F3" s="4">
        <v>5556</v>
      </c>
      <c r="G3" s="4">
        <v>8889</v>
      </c>
      <c r="H3" s="4">
        <v>11.85</v>
      </c>
      <c r="I3" s="8">
        <v>9.25</v>
      </c>
      <c r="J3" s="2">
        <f>0.0024</f>
        <v>2.3999999999999998E-3</v>
      </c>
      <c r="K3" s="2">
        <v>175</v>
      </c>
      <c r="L3" s="6">
        <v>90</v>
      </c>
      <c r="M3" s="6">
        <f>R3/X3</f>
        <v>56.095890410958901</v>
      </c>
      <c r="N3" s="2">
        <v>359</v>
      </c>
      <c r="O3" s="2">
        <v>10</v>
      </c>
      <c r="P3" s="2">
        <v>69.5</v>
      </c>
      <c r="Q3" s="2">
        <v>102</v>
      </c>
      <c r="R3" s="2">
        <f>Q3-P3</f>
        <v>32.5</v>
      </c>
      <c r="S3" s="2">
        <v>4.3</v>
      </c>
      <c r="T3" s="2">
        <v>3</v>
      </c>
      <c r="U3" s="2">
        <f>W3+V3</f>
        <v>6.3</v>
      </c>
      <c r="V3" s="2">
        <v>1.3</v>
      </c>
      <c r="W3" s="2">
        <v>5</v>
      </c>
      <c r="X3" s="2">
        <f>(S3+T3)/(2*U3)</f>
        <v>0.57936507936507942</v>
      </c>
      <c r="Y3" s="2">
        <f>(11.85-9.25)*11.85</f>
        <v>30.809999999999995</v>
      </c>
    </row>
    <row r="4" spans="1:25" ht="29" x14ac:dyDescent="0.35">
      <c r="A4" s="13" t="s">
        <v>21</v>
      </c>
      <c r="B4" s="7" t="s">
        <v>11</v>
      </c>
      <c r="C4" s="4">
        <v>100</v>
      </c>
      <c r="D4" s="4">
        <v>0.1</v>
      </c>
      <c r="E4" s="4" t="s">
        <v>49</v>
      </c>
      <c r="F4" s="4">
        <v>5635</v>
      </c>
      <c r="G4" s="4">
        <v>9015</v>
      </c>
      <c r="H4" s="8">
        <v>11.85</v>
      </c>
      <c r="I4" s="4">
        <v>9.25</v>
      </c>
      <c r="J4" s="9">
        <v>2.3999999999999998E-3</v>
      </c>
      <c r="K4" s="2">
        <v>175</v>
      </c>
      <c r="L4" s="6">
        <v>91</v>
      </c>
      <c r="M4" s="6">
        <f>R4/X4</f>
        <v>62.518260869565218</v>
      </c>
      <c r="N4" s="2">
        <v>339</v>
      </c>
      <c r="O4" s="2">
        <v>10</v>
      </c>
      <c r="P4" s="2">
        <v>73.599999999999994</v>
      </c>
      <c r="Q4" s="2">
        <v>108</v>
      </c>
      <c r="R4" s="2">
        <f>Q4-P4</f>
        <v>34.400000000000006</v>
      </c>
      <c r="S4" s="2">
        <v>4.3</v>
      </c>
      <c r="T4" s="2">
        <v>2.6</v>
      </c>
      <c r="U4" s="2">
        <f>W4+V4</f>
        <v>6.27</v>
      </c>
      <c r="V4" s="2">
        <v>1.27</v>
      </c>
      <c r="W4" s="2">
        <v>5</v>
      </c>
      <c r="X4" s="2">
        <f>(S4+T4)/(2*U4)</f>
        <v>0.55023923444976086</v>
      </c>
      <c r="Y4" s="2">
        <f>(11.85-9.25)*11.85</f>
        <v>30.809999999999995</v>
      </c>
    </row>
    <row r="5" spans="1:25" ht="29" x14ac:dyDescent="0.35">
      <c r="A5" s="13" t="s">
        <v>22</v>
      </c>
      <c r="B5" s="7" t="s">
        <v>12</v>
      </c>
      <c r="C5" s="4">
        <v>100</v>
      </c>
      <c r="D5" s="4">
        <v>0.16</v>
      </c>
      <c r="E5" s="4" t="s">
        <v>49</v>
      </c>
      <c r="F5" s="4">
        <v>4157</v>
      </c>
      <c r="G5" s="4">
        <v>6652</v>
      </c>
      <c r="H5" s="4">
        <v>11.85</v>
      </c>
      <c r="I5" s="4">
        <v>9.25</v>
      </c>
      <c r="J5" s="9">
        <v>3.0000000000000001E-3</v>
      </c>
      <c r="K5" s="2">
        <v>175</v>
      </c>
      <c r="L5" s="6">
        <v>63</v>
      </c>
      <c r="M5" s="6">
        <v>84</v>
      </c>
      <c r="N5" s="2">
        <v>255</v>
      </c>
      <c r="O5" s="2">
        <v>10</v>
      </c>
    </row>
    <row r="6" spans="1:25" ht="29" x14ac:dyDescent="0.35">
      <c r="A6" s="13" t="s">
        <v>55</v>
      </c>
      <c r="B6" s="7" t="s">
        <v>54</v>
      </c>
      <c r="C6" s="4">
        <v>100</v>
      </c>
      <c r="D6" s="4">
        <v>0.16</v>
      </c>
      <c r="E6" s="4" t="s">
        <v>52</v>
      </c>
      <c r="F6" s="4">
        <v>4157</v>
      </c>
      <c r="G6" s="4">
        <v>6652</v>
      </c>
      <c r="H6" s="4">
        <v>11.85</v>
      </c>
      <c r="I6" s="4">
        <v>9.25</v>
      </c>
      <c r="J6" s="9">
        <f>3.1*(0.001)</f>
        <v>3.1000000000000003E-3</v>
      </c>
      <c r="K6" s="2">
        <v>175</v>
      </c>
      <c r="L6" s="6">
        <v>63</v>
      </c>
      <c r="M6" s="6">
        <v>84</v>
      </c>
      <c r="N6" s="2">
        <v>255</v>
      </c>
      <c r="O6" s="2">
        <v>10</v>
      </c>
      <c r="Y6" s="2">
        <f>(11.85-9.25)*11.85</f>
        <v>30.809999999999995</v>
      </c>
    </row>
    <row r="7" spans="1:25" ht="29" x14ac:dyDescent="0.35">
      <c r="A7" s="13" t="s">
        <v>23</v>
      </c>
      <c r="B7" s="7" t="s">
        <v>13</v>
      </c>
      <c r="C7" s="4">
        <v>100</v>
      </c>
      <c r="D7" s="4">
        <v>0.32</v>
      </c>
      <c r="E7" s="4" t="s">
        <v>49</v>
      </c>
      <c r="F7" s="4">
        <v>4220</v>
      </c>
      <c r="G7" s="4"/>
      <c r="H7" s="4">
        <v>10.28</v>
      </c>
      <c r="I7" s="8">
        <v>9.8000000000000007</v>
      </c>
      <c r="J7" s="12">
        <f>1.7*1.15*(10^(-3))</f>
        <v>1.9549999999999997E-3</v>
      </c>
      <c r="K7" s="2">
        <v>150</v>
      </c>
      <c r="L7" s="6">
        <v>23</v>
      </c>
      <c r="M7" s="6">
        <v>22</v>
      </c>
      <c r="N7" s="2">
        <v>220</v>
      </c>
      <c r="O7" s="2">
        <v>10</v>
      </c>
      <c r="Y7" s="2">
        <f>(11.5-10.28)*9.8</f>
        <v>11.956000000000007</v>
      </c>
    </row>
    <row r="8" spans="1:25" ht="29" x14ac:dyDescent="0.35">
      <c r="A8" s="13" t="s">
        <v>24</v>
      </c>
      <c r="B8" s="10" t="s">
        <v>17</v>
      </c>
      <c r="C8" s="4">
        <v>100</v>
      </c>
      <c r="D8" s="4">
        <v>0.16</v>
      </c>
      <c r="E8" s="4" t="s">
        <v>49</v>
      </c>
      <c r="F8" s="2">
        <v>4089</v>
      </c>
      <c r="G8" s="2">
        <v>6542</v>
      </c>
      <c r="H8" s="2">
        <v>11.85</v>
      </c>
      <c r="I8" s="6">
        <v>9.25</v>
      </c>
      <c r="J8" s="2">
        <f>3.1*(10^(-3))</f>
        <v>3.1000000000000003E-3</v>
      </c>
      <c r="K8" s="2">
        <v>175</v>
      </c>
      <c r="L8" s="6">
        <v>66</v>
      </c>
      <c r="M8" s="6">
        <v>86</v>
      </c>
      <c r="N8" s="2">
        <v>244</v>
      </c>
      <c r="O8" s="2">
        <v>10</v>
      </c>
      <c r="Y8" s="2">
        <f>(11.85-9.25)*11.85</f>
        <v>30.809999999999995</v>
      </c>
    </row>
    <row r="9" spans="1:25" s="2" customFormat="1" ht="43.5" x14ac:dyDescent="0.35">
      <c r="A9" s="13" t="s">
        <v>59</v>
      </c>
      <c r="B9" s="10" t="s">
        <v>15</v>
      </c>
      <c r="C9" s="4">
        <v>100</v>
      </c>
      <c r="D9" s="4">
        <v>0.4</v>
      </c>
      <c r="E9" s="4" t="s">
        <v>49</v>
      </c>
      <c r="F9" s="4">
        <v>1920</v>
      </c>
      <c r="G9" s="4">
        <v>2496</v>
      </c>
      <c r="H9" s="2">
        <f>10.375-0.1</f>
        <v>10.275</v>
      </c>
      <c r="I9" s="6">
        <v>9.8000000000000007</v>
      </c>
      <c r="J9" s="11">
        <f>2.59*(10^(-3))</f>
        <v>2.5899999999999999E-3</v>
      </c>
      <c r="K9" s="2">
        <v>175</v>
      </c>
      <c r="L9" s="6">
        <v>15</v>
      </c>
      <c r="M9" s="6">
        <v>48</v>
      </c>
      <c r="N9" s="2">
        <v>166</v>
      </c>
      <c r="O9" s="2">
        <v>10</v>
      </c>
      <c r="Y9" s="2">
        <f>(11.675-0.2-10.275)*9.8</f>
        <v>11.76000000000001</v>
      </c>
    </row>
    <row r="10" spans="1:25" ht="43.5" x14ac:dyDescent="0.35">
      <c r="A10" s="13" t="s">
        <v>25</v>
      </c>
      <c r="B10" s="10" t="s">
        <v>16</v>
      </c>
      <c r="C10" s="4">
        <v>100</v>
      </c>
      <c r="D10" s="4">
        <v>0.4</v>
      </c>
      <c r="E10" s="4" t="s">
        <v>49</v>
      </c>
      <c r="F10" s="2">
        <v>1920</v>
      </c>
      <c r="G10" s="2">
        <v>2496</v>
      </c>
      <c r="H10" s="2">
        <v>9.75</v>
      </c>
      <c r="I10" s="2">
        <f>8.55-0.1</f>
        <v>8.4500000000000011</v>
      </c>
      <c r="J10" s="11">
        <f>2.91*(10^(-3))</f>
        <v>2.9100000000000003E-3</v>
      </c>
      <c r="K10" s="2">
        <v>175</v>
      </c>
      <c r="L10" s="6">
        <v>15</v>
      </c>
      <c r="M10" s="6">
        <v>48</v>
      </c>
      <c r="N10" s="2">
        <v>166</v>
      </c>
      <c r="O10" s="2">
        <v>10</v>
      </c>
      <c r="Y10" s="2">
        <f>(9.9-0.2)*(2.45+0.7-0.2)</f>
        <v>28.615000000000006</v>
      </c>
    </row>
    <row r="11" spans="1:25" ht="29" x14ac:dyDescent="0.35">
      <c r="A11" s="13" t="s">
        <v>26</v>
      </c>
      <c r="B11" s="7" t="s">
        <v>14</v>
      </c>
      <c r="C11" s="4">
        <v>100</v>
      </c>
      <c r="D11" s="4">
        <v>0.32</v>
      </c>
      <c r="E11" s="4" t="s">
        <v>49</v>
      </c>
      <c r="F11" s="4">
        <v>2000</v>
      </c>
      <c r="G11" s="4"/>
      <c r="H11" s="4">
        <v>10.28</v>
      </c>
      <c r="I11" s="8">
        <v>9.8000000000000007</v>
      </c>
      <c r="J11" s="9">
        <f>2*1.15*(10^(-3))</f>
        <v>2.3E-3</v>
      </c>
      <c r="K11" s="2">
        <v>150</v>
      </c>
      <c r="L11" s="6">
        <v>35</v>
      </c>
      <c r="M11" s="6">
        <v>49</v>
      </c>
      <c r="N11" s="2">
        <v>260</v>
      </c>
      <c r="O11" s="2">
        <v>10</v>
      </c>
      <c r="Y11" s="2">
        <f>(11.5-10.28)*9.8</f>
        <v>11.956000000000007</v>
      </c>
    </row>
    <row r="12" spans="1:25" ht="29" x14ac:dyDescent="0.35">
      <c r="A12" s="13" t="s">
        <v>57</v>
      </c>
      <c r="B12" s="7" t="s">
        <v>56</v>
      </c>
      <c r="C12" s="4">
        <v>100</v>
      </c>
      <c r="D12" s="4">
        <v>0.16</v>
      </c>
      <c r="E12" s="4" t="s">
        <v>58</v>
      </c>
      <c r="F12" s="4">
        <v>4089</v>
      </c>
      <c r="G12" s="4">
        <v>6542</v>
      </c>
      <c r="H12" s="4">
        <v>11.85</v>
      </c>
      <c r="I12" s="8">
        <v>9.25</v>
      </c>
      <c r="J12" s="9">
        <f>0.0033</f>
        <v>3.3E-3</v>
      </c>
      <c r="K12" s="2">
        <v>175</v>
      </c>
      <c r="L12" s="6">
        <v>66</v>
      </c>
      <c r="M12" s="6">
        <v>86</v>
      </c>
      <c r="N12" s="2">
        <v>244</v>
      </c>
      <c r="O12" s="2">
        <v>10</v>
      </c>
      <c r="Y12" s="2">
        <f>(11.85-9.25)*11.85</f>
        <v>30.809999999999995</v>
      </c>
    </row>
    <row r="13" spans="1:25" ht="29" x14ac:dyDescent="0.35">
      <c r="A13" s="13" t="s">
        <v>27</v>
      </c>
      <c r="B13" s="10" t="s">
        <v>18</v>
      </c>
      <c r="C13" s="4">
        <v>100</v>
      </c>
      <c r="D13" s="4">
        <v>0.25</v>
      </c>
      <c r="E13" s="4" t="s">
        <v>49</v>
      </c>
      <c r="F13" s="2">
        <v>2058</v>
      </c>
      <c r="H13" s="2">
        <v>10.28</v>
      </c>
      <c r="I13" s="6">
        <v>9.6999999999999993</v>
      </c>
      <c r="J13" s="2">
        <f>2.4*(10^(-3))</f>
        <v>2.3999999999999998E-3</v>
      </c>
      <c r="K13" s="2">
        <v>150</v>
      </c>
      <c r="L13" s="6">
        <v>69</v>
      </c>
      <c r="M13" s="6">
        <v>105</v>
      </c>
      <c r="N13" s="2">
        <v>240</v>
      </c>
      <c r="O13" s="2">
        <v>10</v>
      </c>
      <c r="Y13" s="2">
        <f>(11.48-10.28)*9.7</f>
        <v>11.640000000000009</v>
      </c>
    </row>
    <row r="14" spans="1:25" x14ac:dyDescent="0.35">
      <c r="A14" s="4" t="s">
        <v>29</v>
      </c>
      <c r="B14" s="14" t="s">
        <v>28</v>
      </c>
      <c r="C14" s="4">
        <v>100</v>
      </c>
      <c r="D14" s="4">
        <v>1.08</v>
      </c>
      <c r="E14" s="4" t="s">
        <v>52</v>
      </c>
      <c r="F14" s="4">
        <v>1035</v>
      </c>
      <c r="G14" s="4">
        <v>1423</v>
      </c>
      <c r="H14" s="4">
        <v>3.2</v>
      </c>
      <c r="I14" s="6">
        <v>2.85</v>
      </c>
      <c r="J14" s="15">
        <f>1.9*(10^(-3))</f>
        <v>1.9E-3</v>
      </c>
      <c r="K14" s="2">
        <v>150</v>
      </c>
      <c r="N14" s="2">
        <v>20</v>
      </c>
      <c r="O14" s="2">
        <v>5</v>
      </c>
    </row>
    <row r="15" spans="1:25" ht="29" x14ac:dyDescent="0.35">
      <c r="A15" s="13" t="s">
        <v>32</v>
      </c>
      <c r="B15" s="10" t="s">
        <v>33</v>
      </c>
      <c r="C15" s="4">
        <v>100</v>
      </c>
      <c r="D15" s="4">
        <v>1.92</v>
      </c>
      <c r="E15" s="4" t="s">
        <v>49</v>
      </c>
      <c r="F15" s="2">
        <v>1100</v>
      </c>
      <c r="H15" s="2">
        <v>5.9</v>
      </c>
      <c r="I15" s="6">
        <v>3.9</v>
      </c>
      <c r="J15" s="2">
        <f>0.0028</f>
        <v>2.8E-3</v>
      </c>
      <c r="K15" s="2">
        <v>150</v>
      </c>
      <c r="L15" s="6"/>
      <c r="M15" s="6"/>
      <c r="N15" s="2">
        <v>22</v>
      </c>
      <c r="O15" s="2">
        <v>5</v>
      </c>
    </row>
    <row r="16" spans="1:25" x14ac:dyDescent="0.35">
      <c r="A16" s="13" t="s">
        <v>35</v>
      </c>
      <c r="B16" s="14" t="s">
        <v>34</v>
      </c>
      <c r="C16" s="4">
        <v>100</v>
      </c>
      <c r="D16" s="4">
        <v>1.5</v>
      </c>
      <c r="E16" s="4" t="s">
        <v>52</v>
      </c>
      <c r="F16" s="2">
        <v>1000</v>
      </c>
      <c r="G16" s="2">
        <v>1200</v>
      </c>
      <c r="H16" s="2">
        <v>4.9000000000000004</v>
      </c>
      <c r="I16" s="6">
        <v>2.9</v>
      </c>
      <c r="J16" s="2">
        <f>0.00287</f>
        <v>2.8700000000000002E-3</v>
      </c>
      <c r="K16" s="2">
        <v>150</v>
      </c>
      <c r="N16" s="2">
        <v>23</v>
      </c>
      <c r="O16" s="2">
        <v>5</v>
      </c>
    </row>
    <row r="17" spans="1:15" x14ac:dyDescent="0.35">
      <c r="A17" s="13" t="s">
        <v>37</v>
      </c>
      <c r="B17" s="2" t="s">
        <v>36</v>
      </c>
      <c r="C17" s="4">
        <v>100</v>
      </c>
      <c r="D17" s="4">
        <v>1.1000000000000001</v>
      </c>
      <c r="E17" s="4" t="s">
        <v>52</v>
      </c>
      <c r="F17" s="2">
        <v>840</v>
      </c>
      <c r="G17" s="2">
        <v>1260</v>
      </c>
      <c r="H17" s="2">
        <f>6020*0.001</f>
        <v>6.0200000000000005</v>
      </c>
      <c r="I17" s="2">
        <f>2270*0.001</f>
        <v>2.27</v>
      </c>
      <c r="J17" s="2">
        <f>0.00468</f>
        <v>4.6800000000000001E-3</v>
      </c>
      <c r="K17" s="2">
        <v>150</v>
      </c>
      <c r="N17" s="2">
        <v>13</v>
      </c>
      <c r="O17" s="2">
        <v>5</v>
      </c>
    </row>
    <row r="18" spans="1:15" x14ac:dyDescent="0.35">
      <c r="A18" s="13"/>
    </row>
  </sheetData>
  <hyperlinks>
    <hyperlink ref="B2" r:id="rId1" xr:uid="{39670C8C-9090-44DE-87F7-7AF5E8AA95C6}"/>
    <hyperlink ref="B4" r:id="rId2" xr:uid="{AA4223A7-8CE5-492F-9606-2B5FDB8F7E55}"/>
    <hyperlink ref="B5" r:id="rId3" xr:uid="{096F1F86-1490-4061-9957-6E55A72281C4}"/>
    <hyperlink ref="B7" r:id="rId4" xr:uid="{D2DAE60C-4704-4CAD-B429-AF974196FB4C}"/>
    <hyperlink ref="B9" r:id="rId5" xr:uid="{68FC437B-9F78-47DE-AA76-BCA29E937688}"/>
    <hyperlink ref="B10" r:id="rId6" xr:uid="{526D08B2-EA82-4907-9A21-29C008E12912}"/>
    <hyperlink ref="B8" r:id="rId7" xr:uid="{ECD44B45-E607-4A15-8629-4613BFBCB124}"/>
    <hyperlink ref="B13" r:id="rId8" xr:uid="{35C0AD77-7B07-47DB-B0E4-34BDF1505EA0}"/>
    <hyperlink ref="B11" r:id="rId9" xr:uid="{2C0918C6-1C47-4128-923E-F28EC9C3A2AC}"/>
    <hyperlink ref="B14" r:id="rId10" xr:uid="{76AEC0EF-7B21-4CB5-9BDC-8DE14B8BDDDE}"/>
    <hyperlink ref="B15" r:id="rId11" xr:uid="{94E5245F-6324-457E-AD43-7D0DAAA98FFF}"/>
    <hyperlink ref="B16" r:id="rId12" xr:uid="{FEB64A02-9B29-4A27-8E77-3DC713E95C1E}"/>
    <hyperlink ref="B3" r:id="rId13" xr:uid="{9CE7139F-573B-4118-A35B-1BF2D125EA5A}"/>
    <hyperlink ref="B6" r:id="rId14" xr:uid="{317C3218-6D5A-47A8-BF0C-11EB20867C9B}"/>
    <hyperlink ref="B12" r:id="rId15" xr:uid="{E24CD185-401B-47F4-8899-712A43068E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2026-05-20T18:39:57Z</dcterms:modified>
</cp:coreProperties>
</file>