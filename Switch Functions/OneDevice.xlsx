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A23FE1D6-9992-4A46-BF8E-516BAC1021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X2" i="1" s="1"/>
  <c r="M2" i="1" s="1"/>
  <c r="R2" i="1"/>
</calcChain>
</file>

<file path=xl/sharedStrings.xml><?xml version="1.0" encoding="utf-8"?>
<sst xmlns="http://schemas.openxmlformats.org/spreadsheetml/2006/main" count="30" uniqueCount="30">
  <si>
    <t>Name</t>
  </si>
  <si>
    <t>Part Number</t>
  </si>
  <si>
    <t>Vds, max [V]</t>
  </si>
  <si>
    <t>Rth,JC [°C/W]</t>
  </si>
  <si>
    <t>Cooling Side</t>
  </si>
  <si>
    <t>Eoss @ Vds = 420V [uJ]</t>
  </si>
  <si>
    <t>Coss @ Vds = 420V [pF]</t>
  </si>
  <si>
    <t>Lmin [mm]</t>
  </si>
  <si>
    <t>Wmin [mm]</t>
  </si>
  <si>
    <t>Rds,on,max [Ω]</t>
  </si>
  <si>
    <t>T_j,max  [°C]</t>
  </si>
  <si>
    <t>t_r [ns]</t>
  </si>
  <si>
    <t>t_f [ns]</t>
  </si>
  <si>
    <t>Qg [nC]</t>
  </si>
  <si>
    <t>Vgs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</si>
  <si>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</si>
  <si>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</si>
  <si>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</si>
  <si>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</si>
  <si>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</si>
  <si>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</si>
  <si>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</si>
  <si>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</si>
  <si>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</si>
  <si>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Pin_Area</t>
  </si>
  <si>
    <t>Bottom</t>
  </si>
  <si>
    <t>GS0650306LRMRXUSA1</t>
  </si>
  <si>
    <t>Thermal_L [mm]</t>
  </si>
  <si>
    <t>Thermal_W [mm]</t>
  </si>
  <si>
    <t>GaN Systems GS065-LR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</si>
</sst>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infineon-technologies/GS0650306LRMRXUSA1/23023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J15" sqref="J15"/>
    </sheetView>
  </sheetViews>
  <sheetFormatPr defaultRowHeight="14.5" x14ac:dyDescent="0.35"/>
  <cols>
    <col min="1" max="1" width="11.7265625" customWidth="1"/>
    <col min="2" max="2" width="13.54296875" customWidth="1"/>
    <col min="3" max="3" width="12.54296875" customWidth="1"/>
    <col min="4" max="4" width="11.90625" customWidth="1"/>
    <col min="5" max="5" width="12.26953125" customWidth="1"/>
    <col min="6" max="6" width="20.90625" customWidth="1"/>
    <col min="7" max="7" width="20.6328125" customWidth="1"/>
    <col min="8" max="8" width="11.08984375" customWidth="1"/>
    <col min="9" max="9" width="10.81640625" customWidth="1"/>
    <col min="10" max="10" width="13.26953125" customWidth="1"/>
    <col min="11" max="11" width="11.54296875" customWidth="1"/>
    <col min="26" max="26" width="14.54296875" customWidth="1"/>
    <col min="27" max="27" width="17.63281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27</v>
      </c>
      <c r="AA1" s="5" t="s">
        <v>28</v>
      </c>
    </row>
    <row r="2" spans="1:27" ht="29" x14ac:dyDescent="0.35">
      <c r="A2" s="6" t="s">
        <v>29</v>
      </c>
      <c r="B2" s="7" t="s">
        <v>26</v>
      </c>
      <c r="C2" s="8">
        <v>700</v>
      </c>
      <c r="D2" s="8">
        <v>0.49</v>
      </c>
      <c r="E2" s="8" t="s">
        <v>25</v>
      </c>
      <c r="F2" s="8">
        <v>9</v>
      </c>
      <c r="G2" s="8">
        <v>70</v>
      </c>
      <c r="H2" s="8">
        <v>8</v>
      </c>
      <c r="I2" s="8">
        <v>8</v>
      </c>
      <c r="J2" s="9">
        <v>9.6000000000000002E-2</v>
      </c>
      <c r="K2" s="9">
        <v>150</v>
      </c>
      <c r="L2" s="10">
        <v>6.3</v>
      </c>
      <c r="M2" s="10">
        <f t="shared" ref="M2" si="0">R2/X2</f>
        <v>1.571428571428571</v>
      </c>
      <c r="N2" s="9">
        <v>6.7</v>
      </c>
      <c r="O2" s="9">
        <v>6</v>
      </c>
      <c r="P2" s="9">
        <v>0.9</v>
      </c>
      <c r="Q2" s="9">
        <v>1.9</v>
      </c>
      <c r="R2" s="9">
        <f t="shared" ref="R2" si="1">Q2-P2</f>
        <v>0.99999999999999989</v>
      </c>
      <c r="S2" s="9">
        <v>2.5</v>
      </c>
      <c r="T2" s="9">
        <v>1.7</v>
      </c>
      <c r="U2" s="9">
        <f t="shared" ref="U2" si="2">V2+W2</f>
        <v>3.3</v>
      </c>
      <c r="V2" s="9">
        <v>1.3</v>
      </c>
      <c r="W2" s="9">
        <v>2</v>
      </c>
      <c r="X2" s="9">
        <f t="shared" ref="X2" si="3">(S2+T2)/(2*U2)</f>
        <v>0.63636363636363646</v>
      </c>
      <c r="Y2" s="9">
        <v>0</v>
      </c>
      <c r="Z2" s="9">
        <v>6.94</v>
      </c>
      <c r="AA2" s="9">
        <v>3.2</v>
      </c>
    </row>
  </sheetData>
  <hyperlinks>
    <hyperlink ref="B2" r:id="rId1" xr:uid="{FBEE7C2A-6434-4CA5-A657-4EE137B07E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2026-08-13T00:34:34Z</dcterms:modified>
</cp:coreProperties>
</file>