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Project\GE Vernova\Github\Switch Functions\"/>
    </mc:Choice>
  </mc:AlternateContent>
  <xr:revisionPtr revIDLastSave="0" documentId="13_ncr:1_{69160CAB-4F93-4FFE-9FA8-9CE36CF94E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X2" i="1" s="1"/>
  <c r="R2" i="1"/>
  <c r="J2" i="1"/>
  <c r="M2" i="1" l="1"/>
</calcChain>
</file>

<file path=xl/sharedStrings.xml><?xml version="1.0" encoding="utf-8"?>
<sst xmlns="http://schemas.openxmlformats.org/spreadsheetml/2006/main" count="27" uniqueCount="27">
  <si>
    <t>Part Number</t>
  </si>
  <si>
    <t>Vds, max [V]</t>
  </si>
  <si>
    <t>Rth,JC [°C/W]</t>
  </si>
  <si>
    <t>Lmin [mm]</t>
  </si>
  <si>
    <t>Wmin [mm]</t>
  </si>
  <si>
    <t>Rds,on,max [Ω]</t>
  </si>
  <si>
    <t>T_j,max  [°C]</t>
  </si>
  <si>
    <t>t_r [ns]</t>
  </si>
  <si>
    <t>t_f [ns]</t>
  </si>
  <si>
    <t>Name</t>
  </si>
  <si>
    <t>Qg [nC]</t>
  </si>
  <si>
    <t>Vgs [V]</t>
  </si>
  <si>
    <t>Q_gs(th)</t>
  </si>
  <si>
    <t>Q_gs</t>
  </si>
  <si>
    <t>Q_gs2</t>
  </si>
  <si>
    <t>V_pl_q1</t>
  </si>
  <si>
    <t>V_th</t>
  </si>
  <si>
    <t>R_goff</t>
  </si>
  <si>
    <t>R_g(int)</t>
  </si>
  <si>
    <t>R_g (test)</t>
  </si>
  <si>
    <t>I_gc_cf_off</t>
  </si>
  <si>
    <t>Navitas 6029</t>
  </si>
  <si>
    <t>NV6029</t>
  </si>
  <si>
    <t>Eoss @ Vds = 400V [uJ]</t>
  </si>
  <si>
    <t>Coss [pF]</t>
  </si>
  <si>
    <t>Cooling Side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</si>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</sst>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navitas-semiconductor-inc/NV6029/285324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zoomScale="76" zoomScaleNormal="140" workbookViewId="0">
      <selection activeCell="E3" sqref="E3"/>
    </sheetView>
  </sheetViews>
  <sheetFormatPr defaultRowHeight="14.5" x14ac:dyDescent="0.35"/>
  <cols>
    <col min="1" max="1" width="14.26953125" customWidth="1"/>
    <col min="2" max="2" width="11.90625" style="2" customWidth="1"/>
    <col min="3" max="3" width="12.90625" customWidth="1"/>
    <col min="4" max="4" width="12.7265625" customWidth="1"/>
    <col min="5" max="5" width="20.81640625" customWidth="1"/>
    <col min="6" max="6" width="20.6328125" customWidth="1"/>
    <col min="7" max="7" width="14.7265625" customWidth="1"/>
    <col min="8" max="8" width="11.6328125" customWidth="1"/>
    <col min="9" max="9" width="13.08984375" customWidth="1"/>
    <col min="10" max="10" width="13.81640625" customWidth="1"/>
    <col min="11" max="11" width="12.08984375" customWidth="1"/>
    <col min="14" max="14" width="9.90625" customWidth="1"/>
    <col min="15" max="15" width="8.7265625" style="2"/>
    <col min="17" max="20" width="8.7265625" style="2"/>
    <col min="22" max="24" width="8.7265625" style="2"/>
  </cols>
  <sheetData>
    <row r="1" spans="1:24" x14ac:dyDescent="0.35">
      <c r="A1" s="3" t="s">
        <v>9</v>
      </c>
      <c r="B1" s="3" t="s">
        <v>0</v>
      </c>
      <c r="C1" s="3" t="s">
        <v>1</v>
      </c>
      <c r="D1" s="3" t="s">
        <v>2</v>
      </c>
      <c r="E1" s="3" t="s">
        <v>25</v>
      </c>
      <c r="F1" s="3" t="s">
        <v>23</v>
      </c>
      <c r="G1" s="3" t="s">
        <v>24</v>
      </c>
      <c r="H1" s="5" t="s">
        <v>3</v>
      </c>
      <c r="I1" s="3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10</v>
      </c>
      <c r="O1" s="8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</row>
    <row r="2" spans="1:24" x14ac:dyDescent="0.35">
      <c r="A2" s="7" t="s">
        <v>21</v>
      </c>
      <c r="B2" s="10" t="s">
        <v>22</v>
      </c>
      <c r="C2" s="11">
        <v>800</v>
      </c>
      <c r="D2" s="4">
        <v>0.9</v>
      </c>
      <c r="E2" s="4" t="s">
        <v>26</v>
      </c>
      <c r="F2" s="4">
        <v>7</v>
      </c>
      <c r="G2" s="2">
        <v>60</v>
      </c>
      <c r="H2" s="2">
        <v>7.9</v>
      </c>
      <c r="I2" s="2">
        <v>7.9</v>
      </c>
      <c r="J2" s="2">
        <f>115*0.001</f>
        <v>0.115</v>
      </c>
      <c r="K2" s="2">
        <v>150</v>
      </c>
      <c r="L2" s="6">
        <v>10</v>
      </c>
      <c r="M2" s="6">
        <f t="shared" ref="M2" si="0">R2/X2</f>
        <v>2.1</v>
      </c>
      <c r="N2" s="2">
        <v>8</v>
      </c>
      <c r="O2" s="2">
        <v>6</v>
      </c>
      <c r="P2" s="2">
        <v>0.68</v>
      </c>
      <c r="Q2" s="2">
        <v>1.1000000000000001</v>
      </c>
      <c r="R2" s="2">
        <f t="shared" ref="R2" si="1">Q2-P2</f>
        <v>0.42000000000000004</v>
      </c>
      <c r="S2" s="2">
        <v>2.5</v>
      </c>
      <c r="T2" s="2">
        <v>1.7</v>
      </c>
      <c r="U2" s="2">
        <f t="shared" ref="U2" si="2">V2+W2</f>
        <v>10.5</v>
      </c>
      <c r="V2" s="2">
        <v>0.5</v>
      </c>
      <c r="W2" s="2">
        <v>10</v>
      </c>
      <c r="X2" s="2">
        <f t="shared" ref="X2" si="3">(S2+T2)/(2*U2)</f>
        <v>0.2</v>
      </c>
    </row>
  </sheetData>
  <hyperlinks>
    <hyperlink ref="B2" r:id="rId1" xr:uid="{04EBE0EA-CB29-4849-80AC-492497AAD4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2026-03-15T20:59:03Z</dcterms:modified>
</cp:coreProperties>
</file>